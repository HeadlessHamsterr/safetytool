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Projecten-Data\IA\806533 - Kiremko LWM-BOZ Pilot Line\Veiligheid - Arbo - Milieu - Toegang\"/>
    </mc:Choice>
  </mc:AlternateContent>
  <xr:revisionPtr revIDLastSave="0" documentId="13_ncr:1_{E4C2B0BA-CE5A-47C5-B1CA-6195EB1D31AE}" xr6:coauthVersionLast="47" xr6:coauthVersionMax="47" xr10:uidLastSave="{00000000-0000-0000-0000-000000000000}"/>
  <bookViews>
    <workbookView xWindow="-108" yWindow="-108" windowWidth="23256" windowHeight="12456" xr2:uid="{689C6B4D-1FE7-4500-B79F-668241EC9963}"/>
  </bookViews>
  <sheets>
    <sheet name="Klant informatie" sheetId="1" r:id="rId1"/>
    <sheet name="Veiligheidsfunctie" sheetId="32" r:id="rId2"/>
    <sheet name="Veiligheidsfunctie (2)" sheetId="33" r:id="rId3"/>
    <sheet name="Veiligheidsfunctie (9)" sheetId="40" r:id="rId4"/>
    <sheet name="Veiligheidsfunctie (8)" sheetId="39" r:id="rId5"/>
    <sheet name="Veiligheidsfunctie (7)" sheetId="38" r:id="rId6"/>
    <sheet name="Veiligheidsfunctie (6)" sheetId="37" r:id="rId7"/>
    <sheet name="Veiligheidsfunctie (5)" sheetId="36" r:id="rId8"/>
    <sheet name="Veiligheidsfunctie (3)" sheetId="34" r:id="rId9"/>
    <sheet name="Veiligheidsfunctie (4)" sheetId="35" r:id="rId10"/>
    <sheet name="vlookup" sheetId="3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7" i="40" l="1"/>
  <c r="C27" i="40"/>
  <c r="B27" i="40"/>
  <c r="C8" i="40"/>
  <c r="C7" i="40"/>
  <c r="C6" i="40"/>
  <c r="C5" i="40"/>
  <c r="C4" i="40"/>
  <c r="C3" i="40"/>
  <c r="D27" i="39"/>
  <c r="C27" i="39"/>
  <c r="B27" i="39"/>
  <c r="C8" i="39"/>
  <c r="C7" i="39"/>
  <c r="C6" i="39"/>
  <c r="C5" i="39"/>
  <c r="C4" i="39"/>
  <c r="C3" i="39"/>
  <c r="D27" i="38"/>
  <c r="C27" i="38"/>
  <c r="B27" i="38"/>
  <c r="C8" i="38"/>
  <c r="C7" i="38"/>
  <c r="C6" i="38"/>
  <c r="C5" i="38"/>
  <c r="C4" i="38"/>
  <c r="C3" i="38"/>
  <c r="D27" i="37"/>
  <c r="C27" i="37"/>
  <c r="B27" i="37"/>
  <c r="C8" i="37"/>
  <c r="C7" i="37"/>
  <c r="C6" i="37"/>
  <c r="C5" i="37"/>
  <c r="C4" i="37"/>
  <c r="C3" i="37"/>
  <c r="D27" i="36"/>
  <c r="C27" i="36"/>
  <c r="B27" i="36"/>
  <c r="C8" i="36"/>
  <c r="C7" i="36"/>
  <c r="C6" i="36"/>
  <c r="C5" i="36"/>
  <c r="C4" i="36"/>
  <c r="C3" i="36"/>
  <c r="D27" i="35"/>
  <c r="C27" i="35"/>
  <c r="B27" i="35"/>
  <c r="C8" i="35"/>
  <c r="C7" i="35"/>
  <c r="C6" i="35"/>
  <c r="C5" i="35"/>
  <c r="C4" i="35"/>
  <c r="C3" i="35"/>
  <c r="D27" i="34"/>
  <c r="C27" i="34"/>
  <c r="B27" i="34"/>
  <c r="C8" i="34"/>
  <c r="C7" i="34"/>
  <c r="C6" i="34"/>
  <c r="C5" i="34"/>
  <c r="C4" i="34"/>
  <c r="C3" i="34"/>
  <c r="D27" i="33"/>
  <c r="C27" i="33"/>
  <c r="B27" i="33"/>
  <c r="C8" i="33"/>
  <c r="C7" i="33"/>
  <c r="C6" i="33"/>
  <c r="C5" i="33"/>
  <c r="C4" i="33"/>
  <c r="C3" i="33"/>
  <c r="B27" i="32"/>
  <c r="D27" i="32"/>
  <c r="C27" i="32"/>
  <c r="C8" i="32"/>
  <c r="C7" i="32"/>
  <c r="C6" i="32"/>
  <c r="C5" i="32"/>
  <c r="C4" i="32"/>
  <c r="C3" i="32"/>
</calcChain>
</file>

<file path=xl/sharedStrings.xml><?xml version="1.0" encoding="utf-8"?>
<sst xmlns="http://schemas.openxmlformats.org/spreadsheetml/2006/main" count="282" uniqueCount="71">
  <si>
    <t>Klant informatie</t>
  </si>
  <si>
    <t>Klant:</t>
  </si>
  <si>
    <t>Projectnaam:</t>
  </si>
  <si>
    <t>Projectnummer:</t>
  </si>
  <si>
    <t>Klantcode:</t>
  </si>
  <si>
    <t>Versie:</t>
  </si>
  <si>
    <t>Datum:</t>
  </si>
  <si>
    <t>Handtekening klant:</t>
  </si>
  <si>
    <t>Naam:</t>
  </si>
  <si>
    <t>Handtekening Van den Pol:</t>
  </si>
  <si>
    <t>Safety Requirement Specification</t>
  </si>
  <si>
    <t>Documentatie veiligheidsfunctie</t>
  </si>
  <si>
    <t>Naam veiligheidsfunctie:</t>
  </si>
  <si>
    <t>Manier van resetten:</t>
  </si>
  <si>
    <t>Logic type (in te vullen door Van den Pol):</t>
  </si>
  <si>
    <t>Resultaat veiligheidsanalyse</t>
  </si>
  <si>
    <t>Gewenst Performance Level:</t>
  </si>
  <si>
    <t>B</t>
  </si>
  <si>
    <t>Actieve uren per dag:</t>
  </si>
  <si>
    <t>Actieve dagen per jaar:</t>
  </si>
  <si>
    <t>Categorie:</t>
  </si>
  <si>
    <t>Fault detection:</t>
  </si>
  <si>
    <t>Diagnostic Coverage:</t>
  </si>
  <si>
    <t>Performance level</t>
  </si>
  <si>
    <t>Categorie</t>
  </si>
  <si>
    <t>Fault detection</t>
  </si>
  <si>
    <t>DC</t>
  </si>
  <si>
    <t>A</t>
  </si>
  <si>
    <t>None</t>
  </si>
  <si>
    <t>C</t>
  </si>
  <si>
    <t>Short circuit detection</t>
  </si>
  <si>
    <t>D</t>
  </si>
  <si>
    <t>Low</t>
  </si>
  <si>
    <t>E</t>
  </si>
  <si>
    <t>High</t>
  </si>
  <si>
    <t>Sensor typenummer (indien bekend):</t>
  </si>
  <si>
    <t>Gevolg van activeren veiligheidsfunctie:</t>
  </si>
  <si>
    <t>Resetknop op kast &amp; HMI</t>
  </si>
  <si>
    <t>PLC</t>
  </si>
  <si>
    <t>Aantal activaties per maand:</t>
  </si>
  <si>
    <t>Kiremko BV.</t>
  </si>
  <si>
    <t>Lamb Weston Bergen op Zoom Pilot lijn</t>
  </si>
  <si>
    <t>806533</t>
  </si>
  <si>
    <t>22-1020</t>
  </si>
  <si>
    <t>1.0</t>
  </si>
  <si>
    <t>Noodstop algemeen - direct online motoren</t>
  </si>
  <si>
    <t>Veilig afschakelen van alle direct online motoren</t>
  </si>
  <si>
    <t>Resetknop op kast</t>
  </si>
  <si>
    <t>Noodstopknop Allen Bradley</t>
  </si>
  <si>
    <t>Noodstop algemeen - frequentie geregelde motoren</t>
  </si>
  <si>
    <t>Veilig afschakelen van alle frequentie geregelde motoren</t>
  </si>
  <si>
    <t>Noodstop algemeen - kleppen</t>
  </si>
  <si>
    <t>Veilig afschakelen van alle kleppen</t>
  </si>
  <si>
    <t>Tweehandenbediening kistenkantelaar</t>
  </si>
  <si>
    <t>Veilig afschakelen van kleppen op kistenkantelaar</t>
  </si>
  <si>
    <t>Automatisch reset bij deactiveren veiligheidsfunctie</t>
  </si>
  <si>
    <t>Allen Bradley drukknop</t>
  </si>
  <si>
    <t>Trapped key Allen Bradley</t>
  </si>
  <si>
    <t>Veilig afschakelen van alle frequentie geregelde motoren van snijmachines</t>
  </si>
  <si>
    <t>Trapped key snijbordes - frequentie geregelde motoren</t>
  </si>
  <si>
    <t>Trapped key snijbordes - koppeling met snijmachines</t>
  </si>
  <si>
    <t>Veilig afschakelen van snijmachines (intern veiligheidscircuit van snijmachine valt buiten deze berekening)</t>
  </si>
  <si>
    <t>Veiligheidssensor schiller in positie</t>
  </si>
  <si>
    <t>Veilig afschakelen van frequentie geregelde motor van schiller</t>
  </si>
  <si>
    <t>IFM GF711S</t>
  </si>
  <si>
    <t>Blancheur niveau ten behoeve stoominjectie</t>
  </si>
  <si>
    <t>Veilig afschakelen van stoomtoevoerkleppen</t>
  </si>
  <si>
    <t>Vegaswing 63 (Safe)</t>
  </si>
  <si>
    <t>Kapbeveiliging additieventank</t>
  </si>
  <si>
    <t>Veilig afschakelen van mixer</t>
  </si>
  <si>
    <t>Schermzal BNS 120-02Z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</si>
</sst>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D85B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1">
    <xf numFmtId="0" fontId="0" fillId="0" borderId="0" xfId="0"/>
    <xf numFmtId="0" fontId="2" fillId="0" borderId="1" xfId="0" applyFont="1" applyBorder="1"/>
    <xf numFmtId="0" fontId="2" fillId="4" borderId="1" xfId="0" applyFont="1" applyFill="1" applyBorder="1"/>
    <xf numFmtId="0" fontId="0" fillId="4" borderId="1" xfId="0" applyFill="1" applyBorder="1" applyProtection="1">
      <protection locked="0"/>
    </xf>
    <xf numFmtId="0" fontId="2" fillId="5" borderId="1" xfId="0" applyFont="1" applyFill="1" applyBorder="1"/>
    <xf numFmtId="14" fontId="2" fillId="4" borderId="1" xfId="0" applyNumberFormat="1" applyFont="1" applyFill="1" applyBorder="1" applyAlignment="1" applyProtection="1">
      <alignment horizontal="left"/>
      <protection locked="0"/>
    </xf>
    <xf numFmtId="14" fontId="0" fillId="4" borderId="1" xfId="0" applyNumberFormat="1" applyFill="1" applyBorder="1" applyAlignment="1" applyProtection="1">
      <alignment horizontal="left"/>
      <protection locked="0"/>
    </xf>
    <xf numFmtId="164" fontId="0" fillId="4" borderId="1" xfId="0" applyNumberFormat="1" applyFill="1" applyBorder="1" applyProtection="1">
      <protection locked="0"/>
    </xf>
    <xf numFmtId="0" fontId="1" fillId="2" borderId="1" xfId="1" applyBorder="1" applyAlignment="1">
      <alignment horizontal="left"/>
    </xf>
    <xf numFmtId="49" fontId="0" fillId="0" borderId="8" xfId="0" applyNumberFormat="1" applyBorder="1"/>
    <xf numFmtId="49" fontId="0" fillId="0" borderId="10" xfId="0" applyNumberFormat="1" applyBorder="1"/>
    <xf numFmtId="0" fontId="2" fillId="3" borderId="1" xfId="0" applyFont="1" applyFill="1" applyBorder="1" applyAlignment="1">
      <alignment horizontal="center"/>
    </xf>
    <xf numFmtId="0" fontId="0" fillId="0" borderId="8" xfId="0" applyBorder="1"/>
    <xf numFmtId="0" fontId="0" fillId="0" borderId="10" xfId="0" applyBorder="1"/>
    <xf numFmtId="49" fontId="0" fillId="4" borderId="8" xfId="0" applyNumberFormat="1" applyFill="1" applyBorder="1"/>
    <xf numFmtId="49" fontId="0" fillId="4" borderId="10" xfId="0" applyNumberFormat="1" applyFill="1" applyBorder="1"/>
    <xf numFmtId="14" fontId="0" fillId="4" borderId="8" xfId="0" applyNumberFormat="1" applyFill="1" applyBorder="1" applyAlignment="1">
      <alignment horizontal="left"/>
    </xf>
    <xf numFmtId="14" fontId="0" fillId="4" borderId="10" xfId="0" applyNumberFormat="1" applyFill="1" applyBorder="1" applyAlignment="1">
      <alignment horizontal="left"/>
    </xf>
    <xf numFmtId="0" fontId="0" fillId="0" borderId="1" xfId="0" applyBorder="1" applyAlignment="1">
      <alignment horizontal="center"/>
    </xf>
    <xf numFmtId="0" fontId="2" fillId="0" borderId="1" xfId="0" applyFont="1" applyBorder="1"/>
    <xf numFmtId="0" fontId="0" fillId="4" borderId="2" xfId="0" applyFill="1" applyBorder="1" applyProtection="1">
      <protection locked="0"/>
    </xf>
    <xf numFmtId="0" fontId="0" fillId="4" borderId="3" xfId="0" applyFill="1" applyBorder="1" applyProtection="1">
      <protection locked="0"/>
    </xf>
    <xf numFmtId="0" fontId="0" fillId="4" borderId="4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2" fillId="5" borderId="8" xfId="0" applyFont="1" applyFill="1" applyBorder="1"/>
    <xf numFmtId="0" fontId="2" fillId="5" borderId="10" xfId="0" applyFont="1" applyFill="1" applyBorder="1"/>
    <xf numFmtId="0" fontId="2" fillId="0" borderId="8" xfId="0" applyFont="1" applyBorder="1" applyAlignment="1">
      <alignment horizontal="left"/>
    </xf>
    <xf numFmtId="0" fontId="2" fillId="0" borderId="9" xfId="0" applyFont="1" applyBorder="1" applyAlignment="1">
      <alignment horizontal="left"/>
    </xf>
    <xf numFmtId="0" fontId="2" fillId="0" borderId="10" xfId="0" applyFont="1" applyBorder="1" applyAlignment="1">
      <alignment horizontal="left"/>
    </xf>
    <xf numFmtId="0" fontId="0" fillId="4" borderId="8" xfId="0" applyFill="1" applyBorder="1" applyAlignment="1" applyProtection="1">
      <alignment horizontal="left"/>
      <protection locked="0"/>
    </xf>
    <xf numFmtId="0" fontId="0" fillId="4" borderId="9" xfId="0" applyFill="1" applyBorder="1" applyAlignment="1" applyProtection="1">
      <alignment horizontal="left"/>
      <protection locked="0"/>
    </xf>
    <xf numFmtId="0" fontId="0" fillId="4" borderId="10" xfId="0" applyFill="1" applyBorder="1" applyAlignment="1" applyProtection="1">
      <alignment horizontal="left"/>
      <protection locked="0"/>
    </xf>
    <xf numFmtId="0" fontId="2" fillId="0" borderId="8" xfId="0" applyFont="1" applyBorder="1"/>
    <xf numFmtId="0" fontId="2" fillId="0" borderId="9" xfId="0" applyFont="1" applyBorder="1"/>
    <xf numFmtId="0" fontId="2" fillId="0" borderId="10" xfId="0" applyFont="1" applyBorder="1"/>
    <xf numFmtId="0" fontId="0" fillId="4" borderId="8" xfId="0" applyFill="1" applyBorder="1" applyProtection="1">
      <protection locked="0"/>
    </xf>
    <xf numFmtId="0" fontId="0" fillId="4" borderId="9" xfId="0" applyFill="1" applyBorder="1" applyProtection="1">
      <protection locked="0"/>
    </xf>
    <xf numFmtId="0" fontId="0" fillId="4" borderId="10" xfId="0" applyFill="1" applyBorder="1" applyProtection="1">
      <protection locked="0"/>
    </xf>
    <xf numFmtId="0" fontId="0" fillId="3" borderId="1" xfId="0" applyFill="1" applyBorder="1" applyAlignment="1">
      <alignment horizontal="center"/>
    </xf>
    <xf numFmtId="0" fontId="1" fillId="2" borderId="1" xfId="1" applyBorder="1" applyAlignment="1">
      <alignment horizontal="left"/>
    </xf>
    <xf numFmtId="49" fontId="1" fillId="2" borderId="1" xfId="1" applyNumberFormat="1" applyBorder="1" applyAlignment="1">
      <alignment horizontal="left"/>
    </xf>
    <xf numFmtId="14" fontId="1" fillId="2" borderId="1" xfId="1" applyNumberFormat="1" applyBorder="1" applyAlignment="1">
      <alignment horizontal="left"/>
    </xf>
    <xf numFmtId="0" fontId="2" fillId="6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0" fillId="4" borderId="1" xfId="0" applyFill="1" applyBorder="1" applyAlignment="1" applyProtection="1">
      <alignment horizontal="left"/>
      <protection locked="0"/>
    </xf>
    <xf numFmtId="0" fontId="2" fillId="6" borderId="8" xfId="0" applyFont="1" applyFill="1" applyBorder="1" applyAlignment="1">
      <alignment horizontal="center"/>
    </xf>
    <xf numFmtId="0" fontId="2" fillId="6" borderId="9" xfId="0" applyFont="1" applyFill="1" applyBorder="1" applyAlignment="1">
      <alignment horizontal="center"/>
    </xf>
    <xf numFmtId="0" fontId="2" fillId="6" borderId="10" xfId="0" applyFont="1" applyFill="1" applyBorder="1" applyAlignment="1">
      <alignment horizontal="center"/>
    </xf>
  </cellXfs>
  <cellStyles count="2">
    <cellStyle name="60% - Accent3" xfId="1" builtinId="40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E90FAB0-9EEA-48E5-AC23-AB7661694FB5}" name="Tabel1" displayName="Tabel1" ref="A1:D6" totalsRowShown="0">
  <autoFilter ref="A1:D6" xr:uid="{DE90FAB0-9EEA-48E5-AC23-AB7661694FB5}"/>
  <tableColumns count="4">
    <tableColumn id="1" xr3:uid="{EA5F535A-CB9F-4B39-8360-B5F0C42C87D8}" name="Performance level"/>
    <tableColumn id="2" xr3:uid="{10CCAA8C-9CAA-465D-9D1D-0732E5C9D2FC}" name="Categorie"/>
    <tableColumn id="3" xr3:uid="{6BB8AC17-212E-45E5-BE5B-FA9FE56C6B66}" name="Fault detection"/>
    <tableColumn id="4" xr3:uid="{C2E05352-5960-4825-B26A-AE668943254F}" name="DC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2DC7A-A9E3-4088-8315-EFE11872294C}">
  <sheetPr codeName="Blad1"/>
  <dimension ref="B2:D17"/>
  <sheetViews>
    <sheetView tabSelected="1" workbookViewId="0">
      <selection activeCell="C3" sqref="C3:D8"/>
    </sheetView>
  </sheetViews>
  <sheetFormatPr defaultRowHeight="14.4" x14ac:dyDescent="0.3"/>
  <cols>
    <col min="2" max="2" width="24.21875" bestFit="1" customWidth="1"/>
    <col min="3" max="3" width="17.77734375" customWidth="1"/>
    <col min="4" max="4" width="26.5546875" customWidth="1"/>
  </cols>
  <sheetData>
    <row r="2" spans="2:4" x14ac:dyDescent="0.3">
      <c r="B2" s="11" t="s">
        <v>0</v>
      </c>
      <c r="C2" s="11"/>
      <c r="D2" s="11"/>
    </row>
    <row r="3" spans="2:4" x14ac:dyDescent="0.3">
      <c r="B3" s="1" t="s">
        <v>1</v>
      </c>
      <c r="C3" s="12" t="s">
        <v>40</v>
      </c>
      <c r="D3" s="13"/>
    </row>
    <row r="4" spans="2:4" x14ac:dyDescent="0.3">
      <c r="B4" s="2" t="s">
        <v>2</v>
      </c>
      <c r="C4" s="14" t="s">
        <v>41</v>
      </c>
      <c r="D4" s="15"/>
    </row>
    <row r="5" spans="2:4" x14ac:dyDescent="0.3">
      <c r="B5" s="1" t="s">
        <v>3</v>
      </c>
      <c r="C5" s="9" t="s">
        <v>42</v>
      </c>
      <c r="D5" s="10"/>
    </row>
    <row r="6" spans="2:4" x14ac:dyDescent="0.3">
      <c r="B6" s="2" t="s">
        <v>4</v>
      </c>
      <c r="C6" s="14" t="s">
        <v>43</v>
      </c>
      <c r="D6" s="15"/>
    </row>
    <row r="7" spans="2:4" x14ac:dyDescent="0.3">
      <c r="B7" s="1" t="s">
        <v>5</v>
      </c>
      <c r="C7" s="9" t="s">
        <v>44</v>
      </c>
      <c r="D7" s="10"/>
    </row>
    <row r="8" spans="2:4" x14ac:dyDescent="0.3">
      <c r="B8" s="2" t="s">
        <v>6</v>
      </c>
      <c r="C8" s="16">
        <v>45049</v>
      </c>
      <c r="D8" s="17"/>
    </row>
    <row r="9" spans="2:4" x14ac:dyDescent="0.3">
      <c r="B9" s="18"/>
      <c r="C9" s="18"/>
      <c r="D9" s="18"/>
    </row>
    <row r="10" spans="2:4" x14ac:dyDescent="0.3">
      <c r="B10" s="19" t="s">
        <v>7</v>
      </c>
      <c r="C10" s="19"/>
      <c r="D10" s="1" t="s">
        <v>8</v>
      </c>
    </row>
    <row r="11" spans="2:4" x14ac:dyDescent="0.3">
      <c r="B11" s="20"/>
      <c r="C11" s="21"/>
      <c r="D11" s="3"/>
    </row>
    <row r="12" spans="2:4" x14ac:dyDescent="0.3">
      <c r="B12" s="22"/>
      <c r="C12" s="23"/>
      <c r="D12" s="4" t="s">
        <v>6</v>
      </c>
    </row>
    <row r="13" spans="2:4" x14ac:dyDescent="0.3">
      <c r="B13" s="24"/>
      <c r="C13" s="25"/>
      <c r="D13" s="5"/>
    </row>
    <row r="14" spans="2:4" x14ac:dyDescent="0.3">
      <c r="B14" s="26" t="s">
        <v>9</v>
      </c>
      <c r="C14" s="27"/>
      <c r="D14" s="4" t="s">
        <v>8</v>
      </c>
    </row>
    <row r="15" spans="2:4" x14ac:dyDescent="0.3">
      <c r="B15" s="20"/>
      <c r="C15" s="21"/>
      <c r="D15" s="3"/>
    </row>
    <row r="16" spans="2:4" x14ac:dyDescent="0.3">
      <c r="B16" s="22"/>
      <c r="C16" s="23"/>
      <c r="D16" s="1" t="s">
        <v>6</v>
      </c>
    </row>
    <row r="17" spans="2:4" x14ac:dyDescent="0.3">
      <c r="B17" s="24"/>
      <c r="C17" s="25"/>
      <c r="D17" s="6"/>
    </row>
  </sheetData>
  <mergeCells count="12">
    <mergeCell ref="C8:D8"/>
    <mergeCell ref="B9:D9"/>
    <mergeCell ref="B10:C10"/>
    <mergeCell ref="B11:C13"/>
    <mergeCell ref="B15:C17"/>
    <mergeCell ref="B14:C14"/>
    <mergeCell ref="C7:D7"/>
    <mergeCell ref="B2:D2"/>
    <mergeCell ref="C3:D3"/>
    <mergeCell ref="C4:D4"/>
    <mergeCell ref="C5:D5"/>
    <mergeCell ref="C6:D6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2BDC9-7E20-4089-BD40-DDC88A8CA4A7}">
  <sheetPr codeName="Blad12"/>
  <dimension ref="B2:D27"/>
  <sheetViews>
    <sheetView workbookViewId="0">
      <selection activeCell="B20" sqref="B20:D20"/>
    </sheetView>
  </sheetViews>
  <sheetFormatPr defaultRowHeight="14.4" x14ac:dyDescent="0.3"/>
  <cols>
    <col min="2" max="2" width="25.21875" bestFit="1" customWidth="1"/>
    <col min="3" max="3" width="19.109375" bestFit="1" customWidth="1"/>
    <col min="4" max="4" width="20.5546875" bestFit="1" customWidth="1"/>
  </cols>
  <sheetData>
    <row r="2" spans="2:4" x14ac:dyDescent="0.3">
      <c r="B2" s="11" t="s">
        <v>10</v>
      </c>
      <c r="C2" s="40"/>
      <c r="D2" s="40"/>
    </row>
    <row r="3" spans="2:4" x14ac:dyDescent="0.3">
      <c r="B3" s="1" t="s">
        <v>1</v>
      </c>
      <c r="C3" s="41" t="str">
        <f>'Klant informatie'!C3</f>
        <v>Kiremko BV.</v>
      </c>
      <c r="D3" s="41"/>
    </row>
    <row r="4" spans="2:4" x14ac:dyDescent="0.3">
      <c r="B4" s="1" t="s">
        <v>2</v>
      </c>
      <c r="C4" s="42" t="str">
        <f>'Klant informatie'!C4</f>
        <v>Lamb Weston Bergen op Zoom Pilot lijn</v>
      </c>
      <c r="D4" s="41"/>
    </row>
    <row r="5" spans="2:4" x14ac:dyDescent="0.3">
      <c r="B5" s="1" t="s">
        <v>3</v>
      </c>
      <c r="C5" s="41" t="str">
        <f>'Klant informatie'!C5</f>
        <v>806533</v>
      </c>
      <c r="D5" s="41"/>
    </row>
    <row r="6" spans="2:4" x14ac:dyDescent="0.3">
      <c r="B6" s="1" t="s">
        <v>4</v>
      </c>
      <c r="C6" s="42" t="str">
        <f>'Klant informatie'!C6</f>
        <v>22-1020</v>
      </c>
      <c r="D6" s="41"/>
    </row>
    <row r="7" spans="2:4" x14ac:dyDescent="0.3">
      <c r="B7" s="1" t="s">
        <v>5</v>
      </c>
      <c r="C7" s="41" t="str">
        <f>'Klant informatie'!C7</f>
        <v>1.0</v>
      </c>
      <c r="D7" s="41"/>
    </row>
    <row r="8" spans="2:4" x14ac:dyDescent="0.3">
      <c r="B8" s="1" t="s">
        <v>6</v>
      </c>
      <c r="C8" s="43">
        <f>'Klant informatie'!C8</f>
        <v>45049</v>
      </c>
      <c r="D8" s="41"/>
    </row>
    <row r="9" spans="2:4" x14ac:dyDescent="0.3">
      <c r="B9" s="18"/>
      <c r="C9" s="18"/>
      <c r="D9" s="18"/>
    </row>
    <row r="10" spans="2:4" x14ac:dyDescent="0.3">
      <c r="B10" s="44" t="s">
        <v>11</v>
      </c>
      <c r="C10" s="45"/>
      <c r="D10" s="45"/>
    </row>
    <row r="11" spans="2:4" x14ac:dyDescent="0.3">
      <c r="B11" s="46" t="s">
        <v>12</v>
      </c>
      <c r="C11" s="46"/>
      <c r="D11" s="46"/>
    </row>
    <row r="12" spans="2:4" x14ac:dyDescent="0.3">
      <c r="B12" s="47" t="s">
        <v>45</v>
      </c>
      <c r="C12" s="47"/>
      <c r="D12" s="47"/>
    </row>
    <row r="13" spans="2:4" x14ac:dyDescent="0.3">
      <c r="B13" s="34" t="s">
        <v>36</v>
      </c>
      <c r="C13" s="35"/>
      <c r="D13" s="36"/>
    </row>
    <row r="14" spans="2:4" x14ac:dyDescent="0.3">
      <c r="B14" s="37" t="s">
        <v>46</v>
      </c>
      <c r="C14" s="38"/>
      <c r="D14" s="39"/>
    </row>
    <row r="15" spans="2:4" x14ac:dyDescent="0.3">
      <c r="B15" s="19" t="s">
        <v>13</v>
      </c>
      <c r="C15" s="19"/>
      <c r="D15" s="19"/>
    </row>
    <row r="16" spans="2:4" x14ac:dyDescent="0.3">
      <c r="B16" s="47" t="s">
        <v>47</v>
      </c>
      <c r="C16" s="47"/>
      <c r="D16" s="47"/>
    </row>
    <row r="17" spans="2:4" x14ac:dyDescent="0.3">
      <c r="B17" s="34" t="s">
        <v>35</v>
      </c>
      <c r="C17" s="35"/>
      <c r="D17" s="36"/>
    </row>
    <row r="18" spans="2:4" x14ac:dyDescent="0.3">
      <c r="B18" s="31" t="s">
        <v>48</v>
      </c>
      <c r="C18" s="32"/>
      <c r="D18" s="33"/>
    </row>
    <row r="19" spans="2:4" x14ac:dyDescent="0.3">
      <c r="B19" s="34" t="s">
        <v>14</v>
      </c>
      <c r="C19" s="35"/>
      <c r="D19" s="36"/>
    </row>
    <row r="20" spans="2:4" x14ac:dyDescent="0.3">
      <c r="B20" s="31" t="s">
        <v>38</v>
      </c>
      <c r="C20" s="32"/>
      <c r="D20" s="33"/>
    </row>
    <row r="21" spans="2:4" x14ac:dyDescent="0.3">
      <c r="B21" s="48" t="s">
        <v>15</v>
      </c>
      <c r="C21" s="49"/>
      <c r="D21" s="50"/>
    </row>
    <row r="22" spans="2:4" x14ac:dyDescent="0.3">
      <c r="B22" s="28" t="s">
        <v>16</v>
      </c>
      <c r="C22" s="29"/>
      <c r="D22" s="30"/>
    </row>
    <row r="23" spans="2:4" x14ac:dyDescent="0.3">
      <c r="B23" s="31" t="s">
        <v>29</v>
      </c>
      <c r="C23" s="32"/>
      <c r="D23" s="33"/>
    </row>
    <row r="24" spans="2:4" x14ac:dyDescent="0.3">
      <c r="B24" s="1" t="s">
        <v>39</v>
      </c>
      <c r="C24" s="1" t="s">
        <v>18</v>
      </c>
      <c r="D24" s="1" t="s">
        <v>19</v>
      </c>
    </row>
    <row r="25" spans="2:4" x14ac:dyDescent="0.3">
      <c r="B25" s="7">
        <v>4</v>
      </c>
      <c r="C25" s="3">
        <v>8</v>
      </c>
      <c r="D25" s="3">
        <v>300</v>
      </c>
    </row>
    <row r="26" spans="2:4" x14ac:dyDescent="0.3">
      <c r="B26" s="1" t="s">
        <v>20</v>
      </c>
      <c r="C26" s="1" t="s">
        <v>21</v>
      </c>
      <c r="D26" s="1" t="s">
        <v>22</v>
      </c>
    </row>
    <row r="27" spans="2:4" x14ac:dyDescent="0.3">
      <c r="B27" s="8">
        <f>VLOOKUP(B23,Tabel1[#All],2,FALSE)</f>
        <v>1</v>
      </c>
      <c r="C27" s="8" t="str">
        <f>VLOOKUP(B23,Tabel1[#All],3,FALSE)</f>
        <v>Short circuit detection</v>
      </c>
      <c r="D27" s="8" t="str">
        <f>VLOOKUP(B23,Tabel1[#All],4,FALSE)</f>
        <v>None</v>
      </c>
    </row>
  </sheetData>
  <sheetProtection sheet="1" objects="1" scenarios="1" selectLockedCells="1"/>
  <mergeCells count="22">
    <mergeCell ref="B12:D12"/>
    <mergeCell ref="B20:D20"/>
    <mergeCell ref="B21:D21"/>
    <mergeCell ref="B16:D16"/>
    <mergeCell ref="B17:D17"/>
    <mergeCell ref="B18:D18"/>
    <mergeCell ref="B19:D19"/>
    <mergeCell ref="C7:D7"/>
    <mergeCell ref="C8:D8"/>
    <mergeCell ref="B9:D9"/>
    <mergeCell ref="B10:D10"/>
    <mergeCell ref="B11:D11"/>
    <mergeCell ref="B2:D2"/>
    <mergeCell ref="C3:D3"/>
    <mergeCell ref="C4:D4"/>
    <mergeCell ref="C5:D5"/>
    <mergeCell ref="C6:D6"/>
    <mergeCell ref="B22:D22"/>
    <mergeCell ref="B23:D23"/>
    <mergeCell ref="B13:D13"/>
    <mergeCell ref="B14:D14"/>
    <mergeCell ref="B15:D15"/>
  </mergeCells>
  <dataValidations count="3">
    <dataValidation type="list" allowBlank="1" showInputMessage="1" showErrorMessage="1" sqref="B23" xr:uid="{43EE7728-932F-422A-9AAA-DBEEB3E2FE94}">
      <formula1>"A,B,C,D,E"</formula1>
    </dataValidation>
    <dataValidation type="list" allowBlank="1" showInputMessage="1" showErrorMessage="1" sqref="B20" xr:uid="{0179B7A8-E37D-484E-BA99-A67EAA3EA255}">
      <formula1>"Veiligheidsrelais,PLC"</formula1>
    </dataValidation>
    <dataValidation type="list" allowBlank="1" showInputMessage="1" showErrorMessage="1" sqref="B16:D16" xr:uid="{2612D79E-F95B-40BF-9186-8B90BD0B57A6}">
      <formula1>"Resetknop op kast,Resetknop op HMI,Resetknop op kast &amp; HMI,Automatisch reset bij deactiveren veiligheidsfunctie,"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2A5F2-642D-4A5A-AD6E-6EA8DDFD3315}">
  <sheetPr codeName="Blad13"/>
  <dimension ref="B2:D27"/>
  <sheetViews>
    <sheetView topLeftCell="A3" workbookViewId="0">
      <selection activeCell="B12" sqref="B12:D12"/>
    </sheetView>
  </sheetViews>
  <sheetFormatPr defaultRowHeight="14.4" x14ac:dyDescent="0.3"/>
  <cols>
    <col min="2" max="2" width="25.21875" bestFit="1" customWidth="1"/>
    <col min="3" max="3" width="19.109375" bestFit="1" customWidth="1"/>
    <col min="4" max="4" width="20.5546875" bestFit="1" customWidth="1"/>
  </cols>
  <sheetData>
    <row r="2" spans="2:4" x14ac:dyDescent="0.3">
      <c r="B2" s="11" t="s">
        <v>10</v>
      </c>
      <c r="C2" s="40"/>
      <c r="D2" s="40"/>
    </row>
    <row r="3" spans="2:4" x14ac:dyDescent="0.3">
      <c r="B3" s="1" t="s">
        <v>1</v>
      </c>
      <c r="C3" s="41" t="str">
        <f>'Klant informatie'!C3</f>
        <v>Kiremko BV.</v>
      </c>
      <c r="D3" s="41"/>
    </row>
    <row r="4" spans="2:4" x14ac:dyDescent="0.3">
      <c r="B4" s="1" t="s">
        <v>2</v>
      </c>
      <c r="C4" s="42" t="str">
        <f>'Klant informatie'!C4</f>
        <v>Lamb Weston Bergen op Zoom Pilot lijn</v>
      </c>
      <c r="D4" s="41"/>
    </row>
    <row r="5" spans="2:4" x14ac:dyDescent="0.3">
      <c r="B5" s="1" t="s">
        <v>3</v>
      </c>
      <c r="C5" s="41" t="str">
        <f>'Klant informatie'!C5</f>
        <v>806533</v>
      </c>
      <c r="D5" s="41"/>
    </row>
    <row r="6" spans="2:4" x14ac:dyDescent="0.3">
      <c r="B6" s="1" t="s">
        <v>4</v>
      </c>
      <c r="C6" s="42" t="str">
        <f>'Klant informatie'!C6</f>
        <v>22-1020</v>
      </c>
      <c r="D6" s="41"/>
    </row>
    <row r="7" spans="2:4" x14ac:dyDescent="0.3">
      <c r="B7" s="1" t="s">
        <v>5</v>
      </c>
      <c r="C7" s="41" t="str">
        <f>'Klant informatie'!C7</f>
        <v>1.0</v>
      </c>
      <c r="D7" s="41"/>
    </row>
    <row r="8" spans="2:4" x14ac:dyDescent="0.3">
      <c r="B8" s="1" t="s">
        <v>6</v>
      </c>
      <c r="C8" s="43">
        <f>'Klant informatie'!C8</f>
        <v>45049</v>
      </c>
      <c r="D8" s="41"/>
    </row>
    <row r="9" spans="2:4" x14ac:dyDescent="0.3">
      <c r="B9" s="18"/>
      <c r="C9" s="18"/>
      <c r="D9" s="18"/>
    </row>
    <row r="10" spans="2:4" x14ac:dyDescent="0.3">
      <c r="B10" s="44" t="s">
        <v>11</v>
      </c>
      <c r="C10" s="45"/>
      <c r="D10" s="45"/>
    </row>
    <row r="11" spans="2:4" x14ac:dyDescent="0.3">
      <c r="B11" s="46" t="s">
        <v>12</v>
      </c>
      <c r="C11" s="46"/>
      <c r="D11" s="46"/>
    </row>
    <row r="12" spans="2:4" x14ac:dyDescent="0.3">
      <c r="B12" s="47" t="s">
        <v>49</v>
      </c>
      <c r="C12" s="47"/>
      <c r="D12" s="47"/>
    </row>
    <row r="13" spans="2:4" x14ac:dyDescent="0.3">
      <c r="B13" s="34" t="s">
        <v>36</v>
      </c>
      <c r="C13" s="35"/>
      <c r="D13" s="36"/>
    </row>
    <row r="14" spans="2:4" x14ac:dyDescent="0.3">
      <c r="B14" s="37" t="s">
        <v>50</v>
      </c>
      <c r="C14" s="38"/>
      <c r="D14" s="39"/>
    </row>
    <row r="15" spans="2:4" x14ac:dyDescent="0.3">
      <c r="B15" s="19" t="s">
        <v>13</v>
      </c>
      <c r="C15" s="19"/>
      <c r="D15" s="19"/>
    </row>
    <row r="16" spans="2:4" x14ac:dyDescent="0.3">
      <c r="B16" s="47" t="s">
        <v>47</v>
      </c>
      <c r="C16" s="47"/>
      <c r="D16" s="47"/>
    </row>
    <row r="17" spans="2:4" x14ac:dyDescent="0.3">
      <c r="B17" s="34" t="s">
        <v>35</v>
      </c>
      <c r="C17" s="35"/>
      <c r="D17" s="36"/>
    </row>
    <row r="18" spans="2:4" x14ac:dyDescent="0.3">
      <c r="B18" s="31" t="s">
        <v>48</v>
      </c>
      <c r="C18" s="32"/>
      <c r="D18" s="33"/>
    </row>
    <row r="19" spans="2:4" x14ac:dyDescent="0.3">
      <c r="B19" s="34" t="s">
        <v>14</v>
      </c>
      <c r="C19" s="35"/>
      <c r="D19" s="36"/>
    </row>
    <row r="20" spans="2:4" x14ac:dyDescent="0.3">
      <c r="B20" s="31" t="s">
        <v>38</v>
      </c>
      <c r="C20" s="32"/>
      <c r="D20" s="33"/>
    </row>
    <row r="21" spans="2:4" x14ac:dyDescent="0.3">
      <c r="B21" s="48" t="s">
        <v>15</v>
      </c>
      <c r="C21" s="49"/>
      <c r="D21" s="50"/>
    </row>
    <row r="22" spans="2:4" x14ac:dyDescent="0.3">
      <c r="B22" s="28" t="s">
        <v>16</v>
      </c>
      <c r="C22" s="29"/>
      <c r="D22" s="30"/>
    </row>
    <row r="23" spans="2:4" x14ac:dyDescent="0.3">
      <c r="B23" s="31" t="s">
        <v>29</v>
      </c>
      <c r="C23" s="32"/>
      <c r="D23" s="33"/>
    </row>
    <row r="24" spans="2:4" x14ac:dyDescent="0.3">
      <c r="B24" s="1" t="s">
        <v>39</v>
      </c>
      <c r="C24" s="1" t="s">
        <v>18</v>
      </c>
      <c r="D24" s="1" t="s">
        <v>19</v>
      </c>
    </row>
    <row r="25" spans="2:4" x14ac:dyDescent="0.3">
      <c r="B25" s="7">
        <v>4</v>
      </c>
      <c r="C25" s="3">
        <v>8</v>
      </c>
      <c r="D25" s="3">
        <v>300</v>
      </c>
    </row>
    <row r="26" spans="2:4" x14ac:dyDescent="0.3">
      <c r="B26" s="1" t="s">
        <v>20</v>
      </c>
      <c r="C26" s="1" t="s">
        <v>21</v>
      </c>
      <c r="D26" s="1" t="s">
        <v>22</v>
      </c>
    </row>
    <row r="27" spans="2:4" x14ac:dyDescent="0.3">
      <c r="B27" s="8">
        <f>VLOOKUP(B23,Tabel1[#All],2,FALSE)</f>
        <v>1</v>
      </c>
      <c r="C27" s="8" t="str">
        <f>VLOOKUP(B23,Tabel1[#All],3,FALSE)</f>
        <v>Short circuit detection</v>
      </c>
      <c r="D27" s="8" t="str">
        <f>VLOOKUP(B23,Tabel1[#All],4,FALSE)</f>
        <v>None</v>
      </c>
    </row>
  </sheetData>
  <sheetProtection sheet="1" objects="1" scenarios="1" selectLockedCells="1"/>
  <mergeCells count="22">
    <mergeCell ref="B13:D13"/>
    <mergeCell ref="B2:D2"/>
    <mergeCell ref="C3:D3"/>
    <mergeCell ref="C4:D4"/>
    <mergeCell ref="C5:D5"/>
    <mergeCell ref="C6:D6"/>
    <mergeCell ref="C7:D7"/>
    <mergeCell ref="C8:D8"/>
    <mergeCell ref="B9:D9"/>
    <mergeCell ref="B10:D10"/>
    <mergeCell ref="B11:D11"/>
    <mergeCell ref="B12:D12"/>
    <mergeCell ref="B20:D20"/>
    <mergeCell ref="B21:D21"/>
    <mergeCell ref="B22:D22"/>
    <mergeCell ref="B23:D23"/>
    <mergeCell ref="B14:D14"/>
    <mergeCell ref="B15:D15"/>
    <mergeCell ref="B16:D16"/>
    <mergeCell ref="B17:D17"/>
    <mergeCell ref="B18:D18"/>
    <mergeCell ref="B19:D19"/>
  </mergeCells>
  <dataValidations count="3">
    <dataValidation type="list" allowBlank="1" showInputMessage="1" showErrorMessage="1" sqref="B16:D16" xr:uid="{31AF3C7F-3E78-49E4-97F1-5C99ED3F4F00}">
      <formula1>"Resetknop op kast,Resetknop op HMI,Resetknop op kast &amp; HMI,Automatisch reset bij deactiveren veiligheidsfunctie,"</formula1>
    </dataValidation>
    <dataValidation type="list" allowBlank="1" showInputMessage="1" showErrorMessage="1" sqref="B20" xr:uid="{36E14D5F-3AF2-4104-8D25-01E196496AB3}">
      <formula1>"Veiligheidsrelais,PLC"</formula1>
    </dataValidation>
    <dataValidation type="list" allowBlank="1" showInputMessage="1" showErrorMessage="1" sqref="B23" xr:uid="{06D89B00-6D87-456C-BBCA-D53BC69CB33F}">
      <formula1>"A,B,C,D,E"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9D6B7-E3B4-4B35-969B-EFD94C285FD3}">
  <sheetPr codeName="Blad20"/>
  <dimension ref="B2:D27"/>
  <sheetViews>
    <sheetView topLeftCell="A3" workbookViewId="0">
      <selection activeCell="B12" sqref="B12:D12"/>
    </sheetView>
  </sheetViews>
  <sheetFormatPr defaultRowHeight="14.4" x14ac:dyDescent="0.3"/>
  <cols>
    <col min="2" max="2" width="25.21875" bestFit="1" customWidth="1"/>
    <col min="3" max="3" width="19.109375" bestFit="1" customWidth="1"/>
    <col min="4" max="4" width="20.5546875" bestFit="1" customWidth="1"/>
  </cols>
  <sheetData>
    <row r="2" spans="2:4" x14ac:dyDescent="0.3">
      <c r="B2" s="11" t="s">
        <v>10</v>
      </c>
      <c r="C2" s="40"/>
      <c r="D2" s="40"/>
    </row>
    <row r="3" spans="2:4" x14ac:dyDescent="0.3">
      <c r="B3" s="1" t="s">
        <v>1</v>
      </c>
      <c r="C3" s="41" t="str">
        <f>'Klant informatie'!C3</f>
        <v>Kiremko BV.</v>
      </c>
      <c r="D3" s="41"/>
    </row>
    <row r="4" spans="2:4" x14ac:dyDescent="0.3">
      <c r="B4" s="1" t="s">
        <v>2</v>
      </c>
      <c r="C4" s="42" t="str">
        <f>'Klant informatie'!C4</f>
        <v>Lamb Weston Bergen op Zoom Pilot lijn</v>
      </c>
      <c r="D4" s="41"/>
    </row>
    <row r="5" spans="2:4" x14ac:dyDescent="0.3">
      <c r="B5" s="1" t="s">
        <v>3</v>
      </c>
      <c r="C5" s="41" t="str">
        <f>'Klant informatie'!C5</f>
        <v>806533</v>
      </c>
      <c r="D5" s="41"/>
    </row>
    <row r="6" spans="2:4" x14ac:dyDescent="0.3">
      <c r="B6" s="1" t="s">
        <v>4</v>
      </c>
      <c r="C6" s="42" t="str">
        <f>'Klant informatie'!C6</f>
        <v>22-1020</v>
      </c>
      <c r="D6" s="41"/>
    </row>
    <row r="7" spans="2:4" x14ac:dyDescent="0.3">
      <c r="B7" s="1" t="s">
        <v>5</v>
      </c>
      <c r="C7" s="41" t="str">
        <f>'Klant informatie'!C7</f>
        <v>1.0</v>
      </c>
      <c r="D7" s="41"/>
    </row>
    <row r="8" spans="2:4" x14ac:dyDescent="0.3">
      <c r="B8" s="1" t="s">
        <v>6</v>
      </c>
      <c r="C8" s="43">
        <f>'Klant informatie'!C8</f>
        <v>45049</v>
      </c>
      <c r="D8" s="41"/>
    </row>
    <row r="9" spans="2:4" x14ac:dyDescent="0.3">
      <c r="B9" s="18"/>
      <c r="C9" s="18"/>
      <c r="D9" s="18"/>
    </row>
    <row r="10" spans="2:4" x14ac:dyDescent="0.3">
      <c r="B10" s="44" t="s">
        <v>11</v>
      </c>
      <c r="C10" s="45"/>
      <c r="D10" s="45"/>
    </row>
    <row r="11" spans="2:4" x14ac:dyDescent="0.3">
      <c r="B11" s="46" t="s">
        <v>12</v>
      </c>
      <c r="C11" s="46"/>
      <c r="D11" s="46"/>
    </row>
    <row r="12" spans="2:4" x14ac:dyDescent="0.3">
      <c r="B12" s="47" t="s">
        <v>68</v>
      </c>
      <c r="C12" s="47"/>
      <c r="D12" s="47"/>
    </row>
    <row r="13" spans="2:4" x14ac:dyDescent="0.3">
      <c r="B13" s="34" t="s">
        <v>36</v>
      </c>
      <c r="C13" s="35"/>
      <c r="D13" s="36"/>
    </row>
    <row r="14" spans="2:4" x14ac:dyDescent="0.3">
      <c r="B14" s="37" t="s">
        <v>69</v>
      </c>
      <c r="C14" s="38"/>
      <c r="D14" s="39"/>
    </row>
    <row r="15" spans="2:4" x14ac:dyDescent="0.3">
      <c r="B15" s="19" t="s">
        <v>13</v>
      </c>
      <c r="C15" s="19"/>
      <c r="D15" s="19"/>
    </row>
    <row r="16" spans="2:4" x14ac:dyDescent="0.3">
      <c r="B16" s="47" t="s">
        <v>37</v>
      </c>
      <c r="C16" s="47"/>
      <c r="D16" s="47"/>
    </row>
    <row r="17" spans="2:4" x14ac:dyDescent="0.3">
      <c r="B17" s="34" t="s">
        <v>35</v>
      </c>
      <c r="C17" s="35"/>
      <c r="D17" s="36"/>
    </row>
    <row r="18" spans="2:4" x14ac:dyDescent="0.3">
      <c r="B18" s="31" t="s">
        <v>70</v>
      </c>
      <c r="C18" s="32"/>
      <c r="D18" s="33"/>
    </row>
    <row r="19" spans="2:4" x14ac:dyDescent="0.3">
      <c r="B19" s="34" t="s">
        <v>14</v>
      </c>
      <c r="C19" s="35"/>
      <c r="D19" s="36"/>
    </row>
    <row r="20" spans="2:4" x14ac:dyDescent="0.3">
      <c r="B20" s="31" t="s">
        <v>38</v>
      </c>
      <c r="C20" s="32"/>
      <c r="D20" s="33"/>
    </row>
    <row r="21" spans="2:4" x14ac:dyDescent="0.3">
      <c r="B21" s="48" t="s">
        <v>15</v>
      </c>
      <c r="C21" s="49"/>
      <c r="D21" s="50"/>
    </row>
    <row r="22" spans="2:4" x14ac:dyDescent="0.3">
      <c r="B22" s="28" t="s">
        <v>16</v>
      </c>
      <c r="C22" s="29"/>
      <c r="D22" s="30"/>
    </row>
    <row r="23" spans="2:4" x14ac:dyDescent="0.3">
      <c r="B23" s="31" t="s">
        <v>31</v>
      </c>
      <c r="C23" s="32"/>
      <c r="D23" s="33"/>
    </row>
    <row r="24" spans="2:4" x14ac:dyDescent="0.3">
      <c r="B24" s="1" t="s">
        <v>39</v>
      </c>
      <c r="C24" s="1" t="s">
        <v>18</v>
      </c>
      <c r="D24" s="1" t="s">
        <v>19</v>
      </c>
    </row>
    <row r="25" spans="2:4" x14ac:dyDescent="0.3">
      <c r="B25" s="7">
        <v>300</v>
      </c>
      <c r="C25" s="3">
        <v>8</v>
      </c>
      <c r="D25" s="3">
        <v>300</v>
      </c>
    </row>
    <row r="26" spans="2:4" x14ac:dyDescent="0.3">
      <c r="B26" s="1" t="s">
        <v>20</v>
      </c>
      <c r="C26" s="1" t="s">
        <v>21</v>
      </c>
      <c r="D26" s="1" t="s">
        <v>22</v>
      </c>
    </row>
    <row r="27" spans="2:4" x14ac:dyDescent="0.3">
      <c r="B27" s="8">
        <f>VLOOKUP(B23,Tabel1[#All],2,FALSE)</f>
        <v>3</v>
      </c>
      <c r="C27" s="8" t="str">
        <f>VLOOKUP(B23,Tabel1[#All],3,FALSE)</f>
        <v>Short circuit detection</v>
      </c>
      <c r="D27" s="8" t="str">
        <f>VLOOKUP(B23,Tabel1[#All],4,FALSE)</f>
        <v>Low</v>
      </c>
    </row>
  </sheetData>
  <sheetProtection sheet="1" objects="1" scenarios="1" selectLockedCells="1"/>
  <mergeCells count="22">
    <mergeCell ref="B13:D13"/>
    <mergeCell ref="B2:D2"/>
    <mergeCell ref="C3:D3"/>
    <mergeCell ref="C4:D4"/>
    <mergeCell ref="C5:D5"/>
    <mergeCell ref="C6:D6"/>
    <mergeCell ref="C7:D7"/>
    <mergeCell ref="C8:D8"/>
    <mergeCell ref="B9:D9"/>
    <mergeCell ref="B10:D10"/>
    <mergeCell ref="B11:D11"/>
    <mergeCell ref="B12:D12"/>
    <mergeCell ref="B20:D20"/>
    <mergeCell ref="B21:D21"/>
    <mergeCell ref="B22:D22"/>
    <mergeCell ref="B23:D23"/>
    <mergeCell ref="B14:D14"/>
    <mergeCell ref="B15:D15"/>
    <mergeCell ref="B16:D16"/>
    <mergeCell ref="B17:D17"/>
    <mergeCell ref="B18:D18"/>
    <mergeCell ref="B19:D19"/>
  </mergeCells>
  <dataValidations count="3">
    <dataValidation type="list" allowBlank="1" showInputMessage="1" showErrorMessage="1" sqref="B23" xr:uid="{D1BC9622-67F2-4DB7-A095-3D6E42D43E01}">
      <formula1>"A,B,C,D,E"</formula1>
    </dataValidation>
    <dataValidation type="list" allowBlank="1" showInputMessage="1" showErrorMessage="1" sqref="B20" xr:uid="{EBA31238-E802-4378-9101-31C271B02996}">
      <formula1>"Veiligheidsrelais,PLC"</formula1>
    </dataValidation>
    <dataValidation type="list" allowBlank="1" showInputMessage="1" showErrorMessage="1" sqref="B16:D16" xr:uid="{C5160E99-DDD3-45A1-9F4D-113C435AF8A3}">
      <formula1>"Resetknop op kast,Resetknop op HMI,Resetknop op kast &amp; HMI,Automatisch reset bij deactiveren veiligheidsfunctie,"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73B37-7567-430A-960D-8D7EF0509030}">
  <sheetPr codeName="Blad19"/>
  <dimension ref="B2:D27"/>
  <sheetViews>
    <sheetView topLeftCell="A3" workbookViewId="0">
      <selection activeCell="B25" sqref="B25"/>
    </sheetView>
  </sheetViews>
  <sheetFormatPr defaultRowHeight="14.4" x14ac:dyDescent="0.3"/>
  <cols>
    <col min="2" max="2" width="25.21875" bestFit="1" customWidth="1"/>
    <col min="3" max="3" width="19.109375" bestFit="1" customWidth="1"/>
    <col min="4" max="4" width="20.5546875" bestFit="1" customWidth="1"/>
  </cols>
  <sheetData>
    <row r="2" spans="2:4" x14ac:dyDescent="0.3">
      <c r="B2" s="11" t="s">
        <v>10</v>
      </c>
      <c r="C2" s="40"/>
      <c r="D2" s="40"/>
    </row>
    <row r="3" spans="2:4" x14ac:dyDescent="0.3">
      <c r="B3" s="1" t="s">
        <v>1</v>
      </c>
      <c r="C3" s="41" t="str">
        <f>'Klant informatie'!C3</f>
        <v>Kiremko BV.</v>
      </c>
      <c r="D3" s="41"/>
    </row>
    <row r="4" spans="2:4" x14ac:dyDescent="0.3">
      <c r="B4" s="1" t="s">
        <v>2</v>
      </c>
      <c r="C4" s="42" t="str">
        <f>'Klant informatie'!C4</f>
        <v>Lamb Weston Bergen op Zoom Pilot lijn</v>
      </c>
      <c r="D4" s="41"/>
    </row>
    <row r="5" spans="2:4" x14ac:dyDescent="0.3">
      <c r="B5" s="1" t="s">
        <v>3</v>
      </c>
      <c r="C5" s="41" t="str">
        <f>'Klant informatie'!C5</f>
        <v>806533</v>
      </c>
      <c r="D5" s="41"/>
    </row>
    <row r="6" spans="2:4" x14ac:dyDescent="0.3">
      <c r="B6" s="1" t="s">
        <v>4</v>
      </c>
      <c r="C6" s="42" t="str">
        <f>'Klant informatie'!C6</f>
        <v>22-1020</v>
      </c>
      <c r="D6" s="41"/>
    </row>
    <row r="7" spans="2:4" x14ac:dyDescent="0.3">
      <c r="B7" s="1" t="s">
        <v>5</v>
      </c>
      <c r="C7" s="41" t="str">
        <f>'Klant informatie'!C7</f>
        <v>1.0</v>
      </c>
      <c r="D7" s="41"/>
    </row>
    <row r="8" spans="2:4" x14ac:dyDescent="0.3">
      <c r="B8" s="1" t="s">
        <v>6</v>
      </c>
      <c r="C8" s="43">
        <f>'Klant informatie'!C8</f>
        <v>45049</v>
      </c>
      <c r="D8" s="41"/>
    </row>
    <row r="9" spans="2:4" x14ac:dyDescent="0.3">
      <c r="B9" s="18"/>
      <c r="C9" s="18"/>
      <c r="D9" s="18"/>
    </row>
    <row r="10" spans="2:4" x14ac:dyDescent="0.3">
      <c r="B10" s="44" t="s">
        <v>11</v>
      </c>
      <c r="C10" s="45"/>
      <c r="D10" s="45"/>
    </row>
    <row r="11" spans="2:4" x14ac:dyDescent="0.3">
      <c r="B11" s="46" t="s">
        <v>12</v>
      </c>
      <c r="C11" s="46"/>
      <c r="D11" s="46"/>
    </row>
    <row r="12" spans="2:4" x14ac:dyDescent="0.3">
      <c r="B12" s="47" t="s">
        <v>65</v>
      </c>
      <c r="C12" s="47"/>
      <c r="D12" s="47"/>
    </row>
    <row r="13" spans="2:4" x14ac:dyDescent="0.3">
      <c r="B13" s="34" t="s">
        <v>36</v>
      </c>
      <c r="C13" s="35"/>
      <c r="D13" s="36"/>
    </row>
    <row r="14" spans="2:4" x14ac:dyDescent="0.3">
      <c r="B14" s="37" t="s">
        <v>66</v>
      </c>
      <c r="C14" s="38"/>
      <c r="D14" s="39"/>
    </row>
    <row r="15" spans="2:4" x14ac:dyDescent="0.3">
      <c r="B15" s="19" t="s">
        <v>13</v>
      </c>
      <c r="C15" s="19"/>
      <c r="D15" s="19"/>
    </row>
    <row r="16" spans="2:4" x14ac:dyDescent="0.3">
      <c r="B16" s="47" t="s">
        <v>37</v>
      </c>
      <c r="C16" s="47"/>
      <c r="D16" s="47"/>
    </row>
    <row r="17" spans="2:4" x14ac:dyDescent="0.3">
      <c r="B17" s="34" t="s">
        <v>35</v>
      </c>
      <c r="C17" s="35"/>
      <c r="D17" s="36"/>
    </row>
    <row r="18" spans="2:4" x14ac:dyDescent="0.3">
      <c r="B18" s="31" t="s">
        <v>67</v>
      </c>
      <c r="C18" s="32"/>
      <c r="D18" s="33"/>
    </row>
    <row r="19" spans="2:4" x14ac:dyDescent="0.3">
      <c r="B19" s="34" t="s">
        <v>14</v>
      </c>
      <c r="C19" s="35"/>
      <c r="D19" s="36"/>
    </row>
    <row r="20" spans="2:4" x14ac:dyDescent="0.3">
      <c r="B20" s="31" t="s">
        <v>38</v>
      </c>
      <c r="C20" s="32"/>
      <c r="D20" s="33"/>
    </row>
    <row r="21" spans="2:4" x14ac:dyDescent="0.3">
      <c r="B21" s="48" t="s">
        <v>15</v>
      </c>
      <c r="C21" s="49"/>
      <c r="D21" s="50"/>
    </row>
    <row r="22" spans="2:4" x14ac:dyDescent="0.3">
      <c r="B22" s="28" t="s">
        <v>16</v>
      </c>
      <c r="C22" s="29"/>
      <c r="D22" s="30"/>
    </row>
    <row r="23" spans="2:4" x14ac:dyDescent="0.3">
      <c r="B23" s="31" t="s">
        <v>29</v>
      </c>
      <c r="C23" s="32"/>
      <c r="D23" s="33"/>
    </row>
    <row r="24" spans="2:4" x14ac:dyDescent="0.3">
      <c r="B24" s="1" t="s">
        <v>39</v>
      </c>
      <c r="C24" s="1" t="s">
        <v>18</v>
      </c>
      <c r="D24" s="1" t="s">
        <v>19</v>
      </c>
    </row>
    <row r="25" spans="2:4" x14ac:dyDescent="0.3">
      <c r="B25" s="7">
        <v>60</v>
      </c>
      <c r="C25" s="3">
        <v>8</v>
      </c>
      <c r="D25" s="3">
        <v>300</v>
      </c>
    </row>
    <row r="26" spans="2:4" x14ac:dyDescent="0.3">
      <c r="B26" s="1" t="s">
        <v>20</v>
      </c>
      <c r="C26" s="1" t="s">
        <v>21</v>
      </c>
      <c r="D26" s="1" t="s">
        <v>22</v>
      </c>
    </row>
    <row r="27" spans="2:4" x14ac:dyDescent="0.3">
      <c r="B27" s="8">
        <f>VLOOKUP(B23,Tabel1[#All],2,FALSE)</f>
        <v>1</v>
      </c>
      <c r="C27" s="8" t="str">
        <f>VLOOKUP(B23,Tabel1[#All],3,FALSE)</f>
        <v>Short circuit detection</v>
      </c>
      <c r="D27" s="8" t="str">
        <f>VLOOKUP(B23,Tabel1[#All],4,FALSE)</f>
        <v>None</v>
      </c>
    </row>
  </sheetData>
  <sheetProtection sheet="1" objects="1" scenarios="1" selectLockedCells="1"/>
  <mergeCells count="22">
    <mergeCell ref="B13:D13"/>
    <mergeCell ref="B2:D2"/>
    <mergeCell ref="C3:D3"/>
    <mergeCell ref="C4:D4"/>
    <mergeCell ref="C5:D5"/>
    <mergeCell ref="C6:D6"/>
    <mergeCell ref="C7:D7"/>
    <mergeCell ref="C8:D8"/>
    <mergeCell ref="B9:D9"/>
    <mergeCell ref="B10:D10"/>
    <mergeCell ref="B11:D11"/>
    <mergeCell ref="B12:D12"/>
    <mergeCell ref="B20:D20"/>
    <mergeCell ref="B21:D21"/>
    <mergeCell ref="B22:D22"/>
    <mergeCell ref="B23:D23"/>
    <mergeCell ref="B14:D14"/>
    <mergeCell ref="B15:D15"/>
    <mergeCell ref="B16:D16"/>
    <mergeCell ref="B17:D17"/>
    <mergeCell ref="B18:D18"/>
    <mergeCell ref="B19:D19"/>
  </mergeCells>
  <dataValidations count="3">
    <dataValidation type="list" allowBlank="1" showInputMessage="1" showErrorMessage="1" sqref="B23" xr:uid="{FEE96587-47A5-4566-858D-14D4DC6461AE}">
      <formula1>"A,B,C,D,E"</formula1>
    </dataValidation>
    <dataValidation type="list" allowBlank="1" showInputMessage="1" showErrorMessage="1" sqref="B20" xr:uid="{934DE4F0-0004-426A-BB4F-B612D56A1165}">
      <formula1>"Veiligheidsrelais,PLC"</formula1>
    </dataValidation>
    <dataValidation type="list" allowBlank="1" showInputMessage="1" showErrorMessage="1" sqref="B16:D16" xr:uid="{DBA5C055-BCB5-4177-A16E-DCF224CA65A5}">
      <formula1>"Resetknop op kast,Resetknop op HMI,Resetknop op kast &amp; HMI,Automatisch reset bij deactiveren veiligheidsfunctie,"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7358B-A1F9-4402-AA64-3BF59184A69E}">
  <sheetPr codeName="Blad18"/>
  <dimension ref="B2:D27"/>
  <sheetViews>
    <sheetView topLeftCell="A3" workbookViewId="0">
      <selection activeCell="B12" sqref="B12:D12"/>
    </sheetView>
  </sheetViews>
  <sheetFormatPr defaultRowHeight="14.4" x14ac:dyDescent="0.3"/>
  <cols>
    <col min="2" max="2" width="25.21875" bestFit="1" customWidth="1"/>
    <col min="3" max="3" width="19.109375" bestFit="1" customWidth="1"/>
    <col min="4" max="4" width="20.5546875" bestFit="1" customWidth="1"/>
  </cols>
  <sheetData>
    <row r="2" spans="2:4" x14ac:dyDescent="0.3">
      <c r="B2" s="11" t="s">
        <v>10</v>
      </c>
      <c r="C2" s="40"/>
      <c r="D2" s="40"/>
    </row>
    <row r="3" spans="2:4" x14ac:dyDescent="0.3">
      <c r="B3" s="1" t="s">
        <v>1</v>
      </c>
      <c r="C3" s="41" t="str">
        <f>'Klant informatie'!C3</f>
        <v>Kiremko BV.</v>
      </c>
      <c r="D3" s="41"/>
    </row>
    <row r="4" spans="2:4" x14ac:dyDescent="0.3">
      <c r="B4" s="1" t="s">
        <v>2</v>
      </c>
      <c r="C4" s="42" t="str">
        <f>'Klant informatie'!C4</f>
        <v>Lamb Weston Bergen op Zoom Pilot lijn</v>
      </c>
      <c r="D4" s="41"/>
    </row>
    <row r="5" spans="2:4" x14ac:dyDescent="0.3">
      <c r="B5" s="1" t="s">
        <v>3</v>
      </c>
      <c r="C5" s="41" t="str">
        <f>'Klant informatie'!C5</f>
        <v>806533</v>
      </c>
      <c r="D5" s="41"/>
    </row>
    <row r="6" spans="2:4" x14ac:dyDescent="0.3">
      <c r="B6" s="1" t="s">
        <v>4</v>
      </c>
      <c r="C6" s="42" t="str">
        <f>'Klant informatie'!C6</f>
        <v>22-1020</v>
      </c>
      <c r="D6" s="41"/>
    </row>
    <row r="7" spans="2:4" x14ac:dyDescent="0.3">
      <c r="B7" s="1" t="s">
        <v>5</v>
      </c>
      <c r="C7" s="41" t="str">
        <f>'Klant informatie'!C7</f>
        <v>1.0</v>
      </c>
      <c r="D7" s="41"/>
    </row>
    <row r="8" spans="2:4" x14ac:dyDescent="0.3">
      <c r="B8" s="1" t="s">
        <v>6</v>
      </c>
      <c r="C8" s="43">
        <f>'Klant informatie'!C8</f>
        <v>45049</v>
      </c>
      <c r="D8" s="41"/>
    </row>
    <row r="9" spans="2:4" x14ac:dyDescent="0.3">
      <c r="B9" s="18"/>
      <c r="C9" s="18"/>
      <c r="D9" s="18"/>
    </row>
    <row r="10" spans="2:4" x14ac:dyDescent="0.3">
      <c r="B10" s="44" t="s">
        <v>11</v>
      </c>
      <c r="C10" s="45"/>
      <c r="D10" s="45"/>
    </row>
    <row r="11" spans="2:4" x14ac:dyDescent="0.3">
      <c r="B11" s="46" t="s">
        <v>12</v>
      </c>
      <c r="C11" s="46"/>
      <c r="D11" s="46"/>
    </row>
    <row r="12" spans="2:4" x14ac:dyDescent="0.3">
      <c r="B12" s="47" t="s">
        <v>62</v>
      </c>
      <c r="C12" s="47"/>
      <c r="D12" s="47"/>
    </row>
    <row r="13" spans="2:4" x14ac:dyDescent="0.3">
      <c r="B13" s="34" t="s">
        <v>36</v>
      </c>
      <c r="C13" s="35"/>
      <c r="D13" s="36"/>
    </row>
    <row r="14" spans="2:4" x14ac:dyDescent="0.3">
      <c r="B14" s="37" t="s">
        <v>63</v>
      </c>
      <c r="C14" s="38"/>
      <c r="D14" s="39"/>
    </row>
    <row r="15" spans="2:4" x14ac:dyDescent="0.3">
      <c r="B15" s="19" t="s">
        <v>13</v>
      </c>
      <c r="C15" s="19"/>
      <c r="D15" s="19"/>
    </row>
    <row r="16" spans="2:4" x14ac:dyDescent="0.3">
      <c r="B16" s="47" t="s">
        <v>37</v>
      </c>
      <c r="C16" s="47"/>
      <c r="D16" s="47"/>
    </row>
    <row r="17" spans="2:4" x14ac:dyDescent="0.3">
      <c r="B17" s="34" t="s">
        <v>35</v>
      </c>
      <c r="C17" s="35"/>
      <c r="D17" s="36"/>
    </row>
    <row r="18" spans="2:4" x14ac:dyDescent="0.3">
      <c r="B18" s="31" t="s">
        <v>64</v>
      </c>
      <c r="C18" s="32"/>
      <c r="D18" s="33"/>
    </row>
    <row r="19" spans="2:4" x14ac:dyDescent="0.3">
      <c r="B19" s="34" t="s">
        <v>14</v>
      </c>
      <c r="C19" s="35"/>
      <c r="D19" s="36"/>
    </row>
    <row r="20" spans="2:4" x14ac:dyDescent="0.3">
      <c r="B20" s="31" t="s">
        <v>38</v>
      </c>
      <c r="C20" s="32"/>
      <c r="D20" s="33"/>
    </row>
    <row r="21" spans="2:4" x14ac:dyDescent="0.3">
      <c r="B21" s="48" t="s">
        <v>15</v>
      </c>
      <c r="C21" s="49"/>
      <c r="D21" s="50"/>
    </row>
    <row r="22" spans="2:4" x14ac:dyDescent="0.3">
      <c r="B22" s="28" t="s">
        <v>16</v>
      </c>
      <c r="C22" s="29"/>
      <c r="D22" s="30"/>
    </row>
    <row r="23" spans="2:4" x14ac:dyDescent="0.3">
      <c r="B23" s="31" t="s">
        <v>29</v>
      </c>
      <c r="C23" s="32"/>
      <c r="D23" s="33"/>
    </row>
    <row r="24" spans="2:4" x14ac:dyDescent="0.3">
      <c r="B24" s="1" t="s">
        <v>39</v>
      </c>
      <c r="C24" s="1" t="s">
        <v>18</v>
      </c>
      <c r="D24" s="1" t="s">
        <v>19</v>
      </c>
    </row>
    <row r="25" spans="2:4" x14ac:dyDescent="0.3">
      <c r="B25" s="7">
        <v>30</v>
      </c>
      <c r="C25" s="3">
        <v>8</v>
      </c>
      <c r="D25" s="3">
        <v>300</v>
      </c>
    </row>
    <row r="26" spans="2:4" x14ac:dyDescent="0.3">
      <c r="B26" s="1" t="s">
        <v>20</v>
      </c>
      <c r="C26" s="1" t="s">
        <v>21</v>
      </c>
      <c r="D26" s="1" t="s">
        <v>22</v>
      </c>
    </row>
    <row r="27" spans="2:4" x14ac:dyDescent="0.3">
      <c r="B27" s="8">
        <f>VLOOKUP(B23,Tabel1[#All],2,FALSE)</f>
        <v>1</v>
      </c>
      <c r="C27" s="8" t="str">
        <f>VLOOKUP(B23,Tabel1[#All],3,FALSE)</f>
        <v>Short circuit detection</v>
      </c>
      <c r="D27" s="8" t="str">
        <f>VLOOKUP(B23,Tabel1[#All],4,FALSE)</f>
        <v>None</v>
      </c>
    </row>
  </sheetData>
  <sheetProtection sheet="1" objects="1" scenarios="1" selectLockedCells="1"/>
  <mergeCells count="22">
    <mergeCell ref="B13:D13"/>
    <mergeCell ref="B2:D2"/>
    <mergeCell ref="C3:D3"/>
    <mergeCell ref="C4:D4"/>
    <mergeCell ref="C5:D5"/>
    <mergeCell ref="C6:D6"/>
    <mergeCell ref="C7:D7"/>
    <mergeCell ref="C8:D8"/>
    <mergeCell ref="B9:D9"/>
    <mergeCell ref="B10:D10"/>
    <mergeCell ref="B11:D11"/>
    <mergeCell ref="B12:D12"/>
    <mergeCell ref="B20:D20"/>
    <mergeCell ref="B21:D21"/>
    <mergeCell ref="B22:D22"/>
    <mergeCell ref="B23:D23"/>
    <mergeCell ref="B14:D14"/>
    <mergeCell ref="B15:D15"/>
    <mergeCell ref="B16:D16"/>
    <mergeCell ref="B17:D17"/>
    <mergeCell ref="B18:D18"/>
    <mergeCell ref="B19:D19"/>
  </mergeCells>
  <dataValidations count="3">
    <dataValidation type="list" allowBlank="1" showInputMessage="1" showErrorMessage="1" sqref="B23" xr:uid="{B45BECB0-E077-4CBD-BBAA-093973A45B1D}">
      <formula1>"A,B,C,D,E"</formula1>
    </dataValidation>
    <dataValidation type="list" allowBlank="1" showInputMessage="1" showErrorMessage="1" sqref="B20" xr:uid="{ACE7B689-38A6-413E-B6B2-FE827538A659}">
      <formula1>"Veiligheidsrelais,PLC"</formula1>
    </dataValidation>
    <dataValidation type="list" allowBlank="1" showInputMessage="1" showErrorMessage="1" sqref="B16:D16" xr:uid="{DA0871FF-3C7B-4079-BDC2-8C437D64E416}">
      <formula1>"Resetknop op kast,Resetknop op HMI,Resetknop op kast &amp; HMI,Automatisch reset bij deactiveren veiligheidsfunctie,"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88C96-834A-4E0C-BE9F-53E5FAA5F959}">
  <sheetPr codeName="Blad17"/>
  <dimension ref="B2:D27"/>
  <sheetViews>
    <sheetView workbookViewId="0">
      <selection activeCell="B25" sqref="B25"/>
    </sheetView>
  </sheetViews>
  <sheetFormatPr defaultRowHeight="14.4" x14ac:dyDescent="0.3"/>
  <cols>
    <col min="2" max="2" width="25.21875" bestFit="1" customWidth="1"/>
    <col min="3" max="3" width="19.109375" bestFit="1" customWidth="1"/>
    <col min="4" max="4" width="20.5546875" bestFit="1" customWidth="1"/>
  </cols>
  <sheetData>
    <row r="2" spans="2:4" x14ac:dyDescent="0.3">
      <c r="B2" s="11" t="s">
        <v>10</v>
      </c>
      <c r="C2" s="40"/>
      <c r="D2" s="40"/>
    </row>
    <row r="3" spans="2:4" x14ac:dyDescent="0.3">
      <c r="B3" s="1" t="s">
        <v>1</v>
      </c>
      <c r="C3" s="41" t="str">
        <f>'Klant informatie'!C3</f>
        <v>Kiremko BV.</v>
      </c>
      <c r="D3" s="41"/>
    </row>
    <row r="4" spans="2:4" x14ac:dyDescent="0.3">
      <c r="B4" s="1" t="s">
        <v>2</v>
      </c>
      <c r="C4" s="42" t="str">
        <f>'Klant informatie'!C4</f>
        <v>Lamb Weston Bergen op Zoom Pilot lijn</v>
      </c>
      <c r="D4" s="41"/>
    </row>
    <row r="5" spans="2:4" x14ac:dyDescent="0.3">
      <c r="B5" s="1" t="s">
        <v>3</v>
      </c>
      <c r="C5" s="41" t="str">
        <f>'Klant informatie'!C5</f>
        <v>806533</v>
      </c>
      <c r="D5" s="41"/>
    </row>
    <row r="6" spans="2:4" x14ac:dyDescent="0.3">
      <c r="B6" s="1" t="s">
        <v>4</v>
      </c>
      <c r="C6" s="42" t="str">
        <f>'Klant informatie'!C6</f>
        <v>22-1020</v>
      </c>
      <c r="D6" s="41"/>
    </row>
    <row r="7" spans="2:4" x14ac:dyDescent="0.3">
      <c r="B7" s="1" t="s">
        <v>5</v>
      </c>
      <c r="C7" s="41" t="str">
        <f>'Klant informatie'!C7</f>
        <v>1.0</v>
      </c>
      <c r="D7" s="41"/>
    </row>
    <row r="8" spans="2:4" x14ac:dyDescent="0.3">
      <c r="B8" s="1" t="s">
        <v>6</v>
      </c>
      <c r="C8" s="43">
        <f>'Klant informatie'!C8</f>
        <v>45049</v>
      </c>
      <c r="D8" s="41"/>
    </row>
    <row r="9" spans="2:4" x14ac:dyDescent="0.3">
      <c r="B9" s="18"/>
      <c r="C9" s="18"/>
      <c r="D9" s="18"/>
    </row>
    <row r="10" spans="2:4" x14ac:dyDescent="0.3">
      <c r="B10" s="44" t="s">
        <v>11</v>
      </c>
      <c r="C10" s="45"/>
      <c r="D10" s="45"/>
    </row>
    <row r="11" spans="2:4" x14ac:dyDescent="0.3">
      <c r="B11" s="46" t="s">
        <v>12</v>
      </c>
      <c r="C11" s="46"/>
      <c r="D11" s="46"/>
    </row>
    <row r="12" spans="2:4" x14ac:dyDescent="0.3">
      <c r="B12" s="47" t="s">
        <v>59</v>
      </c>
      <c r="C12" s="47"/>
      <c r="D12" s="47"/>
    </row>
    <row r="13" spans="2:4" x14ac:dyDescent="0.3">
      <c r="B13" s="34" t="s">
        <v>36</v>
      </c>
      <c r="C13" s="35"/>
      <c r="D13" s="36"/>
    </row>
    <row r="14" spans="2:4" x14ac:dyDescent="0.3">
      <c r="B14" s="37" t="s">
        <v>58</v>
      </c>
      <c r="C14" s="38"/>
      <c r="D14" s="39"/>
    </row>
    <row r="15" spans="2:4" x14ac:dyDescent="0.3">
      <c r="B15" s="19" t="s">
        <v>13</v>
      </c>
      <c r="C15" s="19"/>
      <c r="D15" s="19"/>
    </row>
    <row r="16" spans="2:4" x14ac:dyDescent="0.3">
      <c r="B16" s="47" t="s">
        <v>37</v>
      </c>
      <c r="C16" s="47"/>
      <c r="D16" s="47"/>
    </row>
    <row r="17" spans="2:4" x14ac:dyDescent="0.3">
      <c r="B17" s="34" t="s">
        <v>35</v>
      </c>
      <c r="C17" s="35"/>
      <c r="D17" s="36"/>
    </row>
    <row r="18" spans="2:4" x14ac:dyDescent="0.3">
      <c r="B18" s="31" t="s">
        <v>57</v>
      </c>
      <c r="C18" s="32"/>
      <c r="D18" s="33"/>
    </row>
    <row r="19" spans="2:4" x14ac:dyDescent="0.3">
      <c r="B19" s="34" t="s">
        <v>14</v>
      </c>
      <c r="C19" s="35"/>
      <c r="D19" s="36"/>
    </row>
    <row r="20" spans="2:4" x14ac:dyDescent="0.3">
      <c r="B20" s="31" t="s">
        <v>38</v>
      </c>
      <c r="C20" s="32"/>
      <c r="D20" s="33"/>
    </row>
    <row r="21" spans="2:4" x14ac:dyDescent="0.3">
      <c r="B21" s="48" t="s">
        <v>15</v>
      </c>
      <c r="C21" s="49"/>
      <c r="D21" s="50"/>
    </row>
    <row r="22" spans="2:4" x14ac:dyDescent="0.3">
      <c r="B22" s="28" t="s">
        <v>16</v>
      </c>
      <c r="C22" s="29"/>
      <c r="D22" s="30"/>
    </row>
    <row r="23" spans="2:4" x14ac:dyDescent="0.3">
      <c r="B23" s="31" t="s">
        <v>31</v>
      </c>
      <c r="C23" s="32"/>
      <c r="D23" s="33"/>
    </row>
    <row r="24" spans="2:4" x14ac:dyDescent="0.3">
      <c r="B24" s="1" t="s">
        <v>39</v>
      </c>
      <c r="C24" s="1" t="s">
        <v>18</v>
      </c>
      <c r="D24" s="1" t="s">
        <v>19</v>
      </c>
    </row>
    <row r="25" spans="2:4" x14ac:dyDescent="0.3">
      <c r="B25" s="7">
        <v>60</v>
      </c>
      <c r="C25" s="3">
        <v>8</v>
      </c>
      <c r="D25" s="3">
        <v>300</v>
      </c>
    </row>
    <row r="26" spans="2:4" x14ac:dyDescent="0.3">
      <c r="B26" s="1" t="s">
        <v>20</v>
      </c>
      <c r="C26" s="1" t="s">
        <v>21</v>
      </c>
      <c r="D26" s="1" t="s">
        <v>22</v>
      </c>
    </row>
    <row r="27" spans="2:4" x14ac:dyDescent="0.3">
      <c r="B27" s="8">
        <f>VLOOKUP(B23,Tabel1[#All],2,FALSE)</f>
        <v>3</v>
      </c>
      <c r="C27" s="8" t="str">
        <f>VLOOKUP(B23,Tabel1[#All],3,FALSE)</f>
        <v>Short circuit detection</v>
      </c>
      <c r="D27" s="8" t="str">
        <f>VLOOKUP(B23,Tabel1[#All],4,FALSE)</f>
        <v>Low</v>
      </c>
    </row>
  </sheetData>
  <sheetProtection sheet="1" objects="1" scenarios="1" selectLockedCells="1"/>
  <mergeCells count="22">
    <mergeCell ref="B13:D13"/>
    <mergeCell ref="B2:D2"/>
    <mergeCell ref="C3:D3"/>
    <mergeCell ref="C4:D4"/>
    <mergeCell ref="C5:D5"/>
    <mergeCell ref="C6:D6"/>
    <mergeCell ref="C7:D7"/>
    <mergeCell ref="C8:D8"/>
    <mergeCell ref="B9:D9"/>
    <mergeCell ref="B10:D10"/>
    <mergeCell ref="B11:D11"/>
    <mergeCell ref="B12:D12"/>
    <mergeCell ref="B20:D20"/>
    <mergeCell ref="B21:D21"/>
    <mergeCell ref="B22:D22"/>
    <mergeCell ref="B23:D23"/>
    <mergeCell ref="B14:D14"/>
    <mergeCell ref="B15:D15"/>
    <mergeCell ref="B16:D16"/>
    <mergeCell ref="B17:D17"/>
    <mergeCell ref="B18:D18"/>
    <mergeCell ref="B19:D19"/>
  </mergeCells>
  <dataValidations count="3">
    <dataValidation type="list" allowBlank="1" showInputMessage="1" showErrorMessage="1" sqref="B23" xr:uid="{2AF37320-24F9-431C-93E8-9431E3F1EC9D}">
      <formula1>"A,B,C,D,E"</formula1>
    </dataValidation>
    <dataValidation type="list" allowBlank="1" showInputMessage="1" showErrorMessage="1" sqref="B20" xr:uid="{37377DA1-E1B4-4685-B679-1856C73180D9}">
      <formula1>"Veiligheidsrelais,PLC"</formula1>
    </dataValidation>
    <dataValidation type="list" allowBlank="1" showInputMessage="1" showErrorMessage="1" sqref="B16:D16" xr:uid="{C878DC73-448E-4822-BCCC-87CEBB5A236C}">
      <formula1>"Resetknop op kast,Resetknop op HMI,Resetknop op kast &amp; HMI,Automatisch reset bij deactiveren veiligheidsfunctie,"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42F57-2060-4323-A288-56F1119B98AE}">
  <sheetPr codeName="Blad16"/>
  <dimension ref="B2:D27"/>
  <sheetViews>
    <sheetView workbookViewId="0">
      <selection activeCell="B18" sqref="B18:D18"/>
    </sheetView>
  </sheetViews>
  <sheetFormatPr defaultRowHeight="14.4" x14ac:dyDescent="0.3"/>
  <cols>
    <col min="2" max="2" width="25.21875" bestFit="1" customWidth="1"/>
    <col min="3" max="3" width="19.109375" bestFit="1" customWidth="1"/>
    <col min="4" max="4" width="20.5546875" bestFit="1" customWidth="1"/>
  </cols>
  <sheetData>
    <row r="2" spans="2:4" x14ac:dyDescent="0.3">
      <c r="B2" s="11" t="s">
        <v>10</v>
      </c>
      <c r="C2" s="40"/>
      <c r="D2" s="40"/>
    </row>
    <row r="3" spans="2:4" x14ac:dyDescent="0.3">
      <c r="B3" s="1" t="s">
        <v>1</v>
      </c>
      <c r="C3" s="41" t="str">
        <f>'Klant informatie'!C3</f>
        <v>Kiremko BV.</v>
      </c>
      <c r="D3" s="41"/>
    </row>
    <row r="4" spans="2:4" x14ac:dyDescent="0.3">
      <c r="B4" s="1" t="s">
        <v>2</v>
      </c>
      <c r="C4" s="42" t="str">
        <f>'Klant informatie'!C4</f>
        <v>Lamb Weston Bergen op Zoom Pilot lijn</v>
      </c>
      <c r="D4" s="41"/>
    </row>
    <row r="5" spans="2:4" x14ac:dyDescent="0.3">
      <c r="B5" s="1" t="s">
        <v>3</v>
      </c>
      <c r="C5" s="41" t="str">
        <f>'Klant informatie'!C5</f>
        <v>806533</v>
      </c>
      <c r="D5" s="41"/>
    </row>
    <row r="6" spans="2:4" x14ac:dyDescent="0.3">
      <c r="B6" s="1" t="s">
        <v>4</v>
      </c>
      <c r="C6" s="42" t="str">
        <f>'Klant informatie'!C6</f>
        <v>22-1020</v>
      </c>
      <c r="D6" s="41"/>
    </row>
    <row r="7" spans="2:4" x14ac:dyDescent="0.3">
      <c r="B7" s="1" t="s">
        <v>5</v>
      </c>
      <c r="C7" s="41" t="str">
        <f>'Klant informatie'!C7</f>
        <v>1.0</v>
      </c>
      <c r="D7" s="41"/>
    </row>
    <row r="8" spans="2:4" x14ac:dyDescent="0.3">
      <c r="B8" s="1" t="s">
        <v>6</v>
      </c>
      <c r="C8" s="43">
        <f>'Klant informatie'!C8</f>
        <v>45049</v>
      </c>
      <c r="D8" s="41"/>
    </row>
    <row r="9" spans="2:4" x14ac:dyDescent="0.3">
      <c r="B9" s="18"/>
      <c r="C9" s="18"/>
      <c r="D9" s="18"/>
    </row>
    <row r="10" spans="2:4" x14ac:dyDescent="0.3">
      <c r="B10" s="44" t="s">
        <v>11</v>
      </c>
      <c r="C10" s="45"/>
      <c r="D10" s="45"/>
    </row>
    <row r="11" spans="2:4" x14ac:dyDescent="0.3">
      <c r="B11" s="46" t="s">
        <v>12</v>
      </c>
      <c r="C11" s="46"/>
      <c r="D11" s="46"/>
    </row>
    <row r="12" spans="2:4" x14ac:dyDescent="0.3">
      <c r="B12" s="47" t="s">
        <v>60</v>
      </c>
      <c r="C12" s="47"/>
      <c r="D12" s="47"/>
    </row>
    <row r="13" spans="2:4" x14ac:dyDescent="0.3">
      <c r="B13" s="34" t="s">
        <v>36</v>
      </c>
      <c r="C13" s="35"/>
      <c r="D13" s="36"/>
    </row>
    <row r="14" spans="2:4" x14ac:dyDescent="0.3">
      <c r="B14" s="37" t="s">
        <v>61</v>
      </c>
      <c r="C14" s="38"/>
      <c r="D14" s="39"/>
    </row>
    <row r="15" spans="2:4" x14ac:dyDescent="0.3">
      <c r="B15" s="19" t="s">
        <v>13</v>
      </c>
      <c r="C15" s="19"/>
      <c r="D15" s="19"/>
    </row>
    <row r="16" spans="2:4" x14ac:dyDescent="0.3">
      <c r="B16" s="47" t="s">
        <v>37</v>
      </c>
      <c r="C16" s="47"/>
      <c r="D16" s="47"/>
    </row>
    <row r="17" spans="2:4" x14ac:dyDescent="0.3">
      <c r="B17" s="34" t="s">
        <v>35</v>
      </c>
      <c r="C17" s="35"/>
      <c r="D17" s="36"/>
    </row>
    <row r="18" spans="2:4" x14ac:dyDescent="0.3">
      <c r="B18" s="31" t="s">
        <v>57</v>
      </c>
      <c r="C18" s="32"/>
      <c r="D18" s="33"/>
    </row>
    <row r="19" spans="2:4" x14ac:dyDescent="0.3">
      <c r="B19" s="34" t="s">
        <v>14</v>
      </c>
      <c r="C19" s="35"/>
      <c r="D19" s="36"/>
    </row>
    <row r="20" spans="2:4" x14ac:dyDescent="0.3">
      <c r="B20" s="31" t="s">
        <v>38</v>
      </c>
      <c r="C20" s="32"/>
      <c r="D20" s="33"/>
    </row>
    <row r="21" spans="2:4" x14ac:dyDescent="0.3">
      <c r="B21" s="48" t="s">
        <v>15</v>
      </c>
      <c r="C21" s="49"/>
      <c r="D21" s="50"/>
    </row>
    <row r="22" spans="2:4" x14ac:dyDescent="0.3">
      <c r="B22" s="28" t="s">
        <v>16</v>
      </c>
      <c r="C22" s="29"/>
      <c r="D22" s="30"/>
    </row>
    <row r="23" spans="2:4" x14ac:dyDescent="0.3">
      <c r="B23" s="31" t="s">
        <v>31</v>
      </c>
      <c r="C23" s="32"/>
      <c r="D23" s="33"/>
    </row>
    <row r="24" spans="2:4" x14ac:dyDescent="0.3">
      <c r="B24" s="1" t="s">
        <v>39</v>
      </c>
      <c r="C24" s="1" t="s">
        <v>18</v>
      </c>
      <c r="D24" s="1" t="s">
        <v>19</v>
      </c>
    </row>
    <row r="25" spans="2:4" x14ac:dyDescent="0.3">
      <c r="B25" s="7">
        <v>60</v>
      </c>
      <c r="C25" s="3">
        <v>8</v>
      </c>
      <c r="D25" s="3">
        <v>300</v>
      </c>
    </row>
    <row r="26" spans="2:4" x14ac:dyDescent="0.3">
      <c r="B26" s="1" t="s">
        <v>20</v>
      </c>
      <c r="C26" s="1" t="s">
        <v>21</v>
      </c>
      <c r="D26" s="1" t="s">
        <v>22</v>
      </c>
    </row>
    <row r="27" spans="2:4" x14ac:dyDescent="0.3">
      <c r="B27" s="8">
        <f>VLOOKUP(B23,Tabel1[#All],2,FALSE)</f>
        <v>3</v>
      </c>
      <c r="C27" s="8" t="str">
        <f>VLOOKUP(B23,Tabel1[#All],3,FALSE)</f>
        <v>Short circuit detection</v>
      </c>
      <c r="D27" s="8" t="str">
        <f>VLOOKUP(B23,Tabel1[#All],4,FALSE)</f>
        <v>Low</v>
      </c>
    </row>
  </sheetData>
  <sheetProtection sheet="1" objects="1" scenarios="1" selectLockedCells="1"/>
  <mergeCells count="22">
    <mergeCell ref="B13:D13"/>
    <mergeCell ref="B2:D2"/>
    <mergeCell ref="C3:D3"/>
    <mergeCell ref="C4:D4"/>
    <mergeCell ref="C5:D5"/>
    <mergeCell ref="C6:D6"/>
    <mergeCell ref="C7:D7"/>
    <mergeCell ref="C8:D8"/>
    <mergeCell ref="B9:D9"/>
    <mergeCell ref="B10:D10"/>
    <mergeCell ref="B11:D11"/>
    <mergeCell ref="B12:D12"/>
    <mergeCell ref="B20:D20"/>
    <mergeCell ref="B21:D21"/>
    <mergeCell ref="B22:D22"/>
    <mergeCell ref="B23:D23"/>
    <mergeCell ref="B14:D14"/>
    <mergeCell ref="B15:D15"/>
    <mergeCell ref="B16:D16"/>
    <mergeCell ref="B17:D17"/>
    <mergeCell ref="B18:D18"/>
    <mergeCell ref="B19:D19"/>
  </mergeCells>
  <dataValidations count="3">
    <dataValidation type="list" allowBlank="1" showInputMessage="1" showErrorMessage="1" sqref="B23" xr:uid="{75FDE2AF-4BC1-45C1-8AA2-D8B1D28A7CE2}">
      <formula1>"A,B,C,D,E"</formula1>
    </dataValidation>
    <dataValidation type="list" allowBlank="1" showInputMessage="1" showErrorMessage="1" sqref="B20" xr:uid="{B265640E-C107-4828-9759-215074202F19}">
      <formula1>"Veiligheidsrelais,PLC"</formula1>
    </dataValidation>
    <dataValidation type="list" allowBlank="1" showInputMessage="1" showErrorMessage="1" sqref="B16:D16" xr:uid="{A60339B3-7FDC-402E-B17E-A06030B4BE51}">
      <formula1>"Resetknop op kast,Resetknop op HMI,Resetknop op kast &amp; HMI,Automatisch reset bij deactiveren veiligheidsfunctie,"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6126F-5A7B-440A-B931-A183BF12CAAD}">
  <sheetPr codeName="Blad14"/>
  <dimension ref="B2:D27"/>
  <sheetViews>
    <sheetView topLeftCell="A2" workbookViewId="0">
      <selection activeCell="B16" sqref="B16:D16"/>
    </sheetView>
  </sheetViews>
  <sheetFormatPr defaultRowHeight="14.4" x14ac:dyDescent="0.3"/>
  <cols>
    <col min="2" max="2" width="25.21875" bestFit="1" customWidth="1"/>
    <col min="3" max="3" width="19.109375" bestFit="1" customWidth="1"/>
    <col min="4" max="4" width="20.5546875" bestFit="1" customWidth="1"/>
  </cols>
  <sheetData>
    <row r="2" spans="2:4" x14ac:dyDescent="0.3">
      <c r="B2" s="11" t="s">
        <v>10</v>
      </c>
      <c r="C2" s="40"/>
      <c r="D2" s="40"/>
    </row>
    <row r="3" spans="2:4" x14ac:dyDescent="0.3">
      <c r="B3" s="1" t="s">
        <v>1</v>
      </c>
      <c r="C3" s="41" t="str">
        <f>'Klant informatie'!C3</f>
        <v>Kiremko BV.</v>
      </c>
      <c r="D3" s="41"/>
    </row>
    <row r="4" spans="2:4" x14ac:dyDescent="0.3">
      <c r="B4" s="1" t="s">
        <v>2</v>
      </c>
      <c r="C4" s="42" t="str">
        <f>'Klant informatie'!C4</f>
        <v>Lamb Weston Bergen op Zoom Pilot lijn</v>
      </c>
      <c r="D4" s="41"/>
    </row>
    <row r="5" spans="2:4" x14ac:dyDescent="0.3">
      <c r="B5" s="1" t="s">
        <v>3</v>
      </c>
      <c r="C5" s="41" t="str">
        <f>'Klant informatie'!C5</f>
        <v>806533</v>
      </c>
      <c r="D5" s="41"/>
    </row>
    <row r="6" spans="2:4" x14ac:dyDescent="0.3">
      <c r="B6" s="1" t="s">
        <v>4</v>
      </c>
      <c r="C6" s="42" t="str">
        <f>'Klant informatie'!C6</f>
        <v>22-1020</v>
      </c>
      <c r="D6" s="41"/>
    </row>
    <row r="7" spans="2:4" x14ac:dyDescent="0.3">
      <c r="B7" s="1" t="s">
        <v>5</v>
      </c>
      <c r="C7" s="41" t="str">
        <f>'Klant informatie'!C7</f>
        <v>1.0</v>
      </c>
      <c r="D7" s="41"/>
    </row>
    <row r="8" spans="2:4" x14ac:dyDescent="0.3">
      <c r="B8" s="1" t="s">
        <v>6</v>
      </c>
      <c r="C8" s="43">
        <f>'Klant informatie'!C8</f>
        <v>45049</v>
      </c>
      <c r="D8" s="41"/>
    </row>
    <row r="9" spans="2:4" x14ac:dyDescent="0.3">
      <c r="B9" s="18"/>
      <c r="C9" s="18"/>
      <c r="D9" s="18"/>
    </row>
    <row r="10" spans="2:4" x14ac:dyDescent="0.3">
      <c r="B10" s="44" t="s">
        <v>11</v>
      </c>
      <c r="C10" s="45"/>
      <c r="D10" s="45"/>
    </row>
    <row r="11" spans="2:4" x14ac:dyDescent="0.3">
      <c r="B11" s="46" t="s">
        <v>12</v>
      </c>
      <c r="C11" s="46"/>
      <c r="D11" s="46"/>
    </row>
    <row r="12" spans="2:4" x14ac:dyDescent="0.3">
      <c r="B12" s="47" t="s">
        <v>51</v>
      </c>
      <c r="C12" s="47"/>
      <c r="D12" s="47"/>
    </row>
    <row r="13" spans="2:4" x14ac:dyDescent="0.3">
      <c r="B13" s="34" t="s">
        <v>36</v>
      </c>
      <c r="C13" s="35"/>
      <c r="D13" s="36"/>
    </row>
    <row r="14" spans="2:4" x14ac:dyDescent="0.3">
      <c r="B14" s="37" t="s">
        <v>52</v>
      </c>
      <c r="C14" s="38"/>
      <c r="D14" s="39"/>
    </row>
    <row r="15" spans="2:4" x14ac:dyDescent="0.3">
      <c r="B15" s="19" t="s">
        <v>13</v>
      </c>
      <c r="C15" s="19"/>
      <c r="D15" s="19"/>
    </row>
    <row r="16" spans="2:4" x14ac:dyDescent="0.3">
      <c r="B16" s="47" t="s">
        <v>47</v>
      </c>
      <c r="C16" s="47"/>
      <c r="D16" s="47"/>
    </row>
    <row r="17" spans="2:4" x14ac:dyDescent="0.3">
      <c r="B17" s="34" t="s">
        <v>35</v>
      </c>
      <c r="C17" s="35"/>
      <c r="D17" s="36"/>
    </row>
    <row r="18" spans="2:4" x14ac:dyDescent="0.3">
      <c r="B18" s="31" t="s">
        <v>48</v>
      </c>
      <c r="C18" s="32"/>
      <c r="D18" s="33"/>
    </row>
    <row r="19" spans="2:4" x14ac:dyDescent="0.3">
      <c r="B19" s="34" t="s">
        <v>14</v>
      </c>
      <c r="C19" s="35"/>
      <c r="D19" s="36"/>
    </row>
    <row r="20" spans="2:4" x14ac:dyDescent="0.3">
      <c r="B20" s="31" t="s">
        <v>38</v>
      </c>
      <c r="C20" s="32"/>
      <c r="D20" s="33"/>
    </row>
    <row r="21" spans="2:4" x14ac:dyDescent="0.3">
      <c r="B21" s="48" t="s">
        <v>15</v>
      </c>
      <c r="C21" s="49"/>
      <c r="D21" s="50"/>
    </row>
    <row r="22" spans="2:4" x14ac:dyDescent="0.3">
      <c r="B22" s="28" t="s">
        <v>16</v>
      </c>
      <c r="C22" s="29"/>
      <c r="D22" s="30"/>
    </row>
    <row r="23" spans="2:4" x14ac:dyDescent="0.3">
      <c r="B23" s="31" t="s">
        <v>29</v>
      </c>
      <c r="C23" s="32"/>
      <c r="D23" s="33"/>
    </row>
    <row r="24" spans="2:4" x14ac:dyDescent="0.3">
      <c r="B24" s="1" t="s">
        <v>39</v>
      </c>
      <c r="C24" s="1" t="s">
        <v>18</v>
      </c>
      <c r="D24" s="1" t="s">
        <v>19</v>
      </c>
    </row>
    <row r="25" spans="2:4" x14ac:dyDescent="0.3">
      <c r="B25" s="7">
        <v>4</v>
      </c>
      <c r="C25" s="3">
        <v>24</v>
      </c>
      <c r="D25" s="3">
        <v>365</v>
      </c>
    </row>
    <row r="26" spans="2:4" x14ac:dyDescent="0.3">
      <c r="B26" s="1" t="s">
        <v>20</v>
      </c>
      <c r="C26" s="1" t="s">
        <v>21</v>
      </c>
      <c r="D26" s="1" t="s">
        <v>22</v>
      </c>
    </row>
    <row r="27" spans="2:4" x14ac:dyDescent="0.3">
      <c r="B27" s="8">
        <f>VLOOKUP(B23,Tabel1[#All],2,FALSE)</f>
        <v>1</v>
      </c>
      <c r="C27" s="8" t="str">
        <f>VLOOKUP(B23,Tabel1[#All],3,FALSE)</f>
        <v>Short circuit detection</v>
      </c>
      <c r="D27" s="8" t="str">
        <f>VLOOKUP(B23,Tabel1[#All],4,FALSE)</f>
        <v>None</v>
      </c>
    </row>
  </sheetData>
  <sheetProtection sheet="1" objects="1" scenarios="1" selectLockedCells="1"/>
  <mergeCells count="22">
    <mergeCell ref="B13:D13"/>
    <mergeCell ref="B2:D2"/>
    <mergeCell ref="C3:D3"/>
    <mergeCell ref="C4:D4"/>
    <mergeCell ref="C5:D5"/>
    <mergeCell ref="C6:D6"/>
    <mergeCell ref="C7:D7"/>
    <mergeCell ref="C8:D8"/>
    <mergeCell ref="B9:D9"/>
    <mergeCell ref="B10:D10"/>
    <mergeCell ref="B11:D11"/>
    <mergeCell ref="B12:D12"/>
    <mergeCell ref="B20:D20"/>
    <mergeCell ref="B21:D21"/>
    <mergeCell ref="B22:D22"/>
    <mergeCell ref="B23:D23"/>
    <mergeCell ref="B14:D14"/>
    <mergeCell ref="B15:D15"/>
    <mergeCell ref="B16:D16"/>
    <mergeCell ref="B17:D17"/>
    <mergeCell ref="B18:D18"/>
    <mergeCell ref="B19:D19"/>
  </mergeCells>
  <dataValidations count="3">
    <dataValidation type="list" allowBlank="1" showInputMessage="1" showErrorMessage="1" sqref="B23" xr:uid="{40BCB011-B396-4654-9690-EE2DEDA008AB}">
      <formula1>"A,B,C,D,E"</formula1>
    </dataValidation>
    <dataValidation type="list" allowBlank="1" showInputMessage="1" showErrorMessage="1" sqref="B20" xr:uid="{27FF4537-C83C-4FA7-929F-396B1879BB69}">
      <formula1>"Veiligheidsrelais,PLC"</formula1>
    </dataValidation>
    <dataValidation type="list" allowBlank="1" showInputMessage="1" showErrorMessage="1" sqref="B16:D16" xr:uid="{3C70C72D-BE8B-4EC6-8336-0E583494A53E}">
      <formula1>"Resetknop op kast,Resetknop op HMI,Resetknop op kast &amp; HMI,Automatisch reset bij deactiveren veiligheidsfunctie,"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1CA70-EABB-42B0-9156-CD22F6442496}">
  <sheetPr codeName="Blad15"/>
  <dimension ref="B2:D27"/>
  <sheetViews>
    <sheetView workbookViewId="0">
      <selection activeCell="B12" sqref="B12:D12"/>
    </sheetView>
  </sheetViews>
  <sheetFormatPr defaultRowHeight="14.4" x14ac:dyDescent="0.3"/>
  <cols>
    <col min="2" max="2" width="25.21875" bestFit="1" customWidth="1"/>
    <col min="3" max="3" width="19.109375" bestFit="1" customWidth="1"/>
    <col min="4" max="4" width="20.5546875" bestFit="1" customWidth="1"/>
  </cols>
  <sheetData>
    <row r="2" spans="2:4" x14ac:dyDescent="0.3">
      <c r="B2" s="11" t="s">
        <v>10</v>
      </c>
      <c r="C2" s="40"/>
      <c r="D2" s="40"/>
    </row>
    <row r="3" spans="2:4" x14ac:dyDescent="0.3">
      <c r="B3" s="1" t="s">
        <v>1</v>
      </c>
      <c r="C3" s="41" t="str">
        <f>'Klant informatie'!C3</f>
        <v>Kiremko BV.</v>
      </c>
      <c r="D3" s="41"/>
    </row>
    <row r="4" spans="2:4" x14ac:dyDescent="0.3">
      <c r="B4" s="1" t="s">
        <v>2</v>
      </c>
      <c r="C4" s="42" t="str">
        <f>'Klant informatie'!C4</f>
        <v>Lamb Weston Bergen op Zoom Pilot lijn</v>
      </c>
      <c r="D4" s="41"/>
    </row>
    <row r="5" spans="2:4" x14ac:dyDescent="0.3">
      <c r="B5" s="1" t="s">
        <v>3</v>
      </c>
      <c r="C5" s="41" t="str">
        <f>'Klant informatie'!C5</f>
        <v>806533</v>
      </c>
      <c r="D5" s="41"/>
    </row>
    <row r="6" spans="2:4" x14ac:dyDescent="0.3">
      <c r="B6" s="1" t="s">
        <v>4</v>
      </c>
      <c r="C6" s="42" t="str">
        <f>'Klant informatie'!C6</f>
        <v>22-1020</v>
      </c>
      <c r="D6" s="41"/>
    </row>
    <row r="7" spans="2:4" x14ac:dyDescent="0.3">
      <c r="B7" s="1" t="s">
        <v>5</v>
      </c>
      <c r="C7" s="41" t="str">
        <f>'Klant informatie'!C7</f>
        <v>1.0</v>
      </c>
      <c r="D7" s="41"/>
    </row>
    <row r="8" spans="2:4" x14ac:dyDescent="0.3">
      <c r="B8" s="1" t="s">
        <v>6</v>
      </c>
      <c r="C8" s="43">
        <f>'Klant informatie'!C8</f>
        <v>45049</v>
      </c>
      <c r="D8" s="41"/>
    </row>
    <row r="9" spans="2:4" x14ac:dyDescent="0.3">
      <c r="B9" s="18"/>
      <c r="C9" s="18"/>
      <c r="D9" s="18"/>
    </row>
    <row r="10" spans="2:4" x14ac:dyDescent="0.3">
      <c r="B10" s="44" t="s">
        <v>11</v>
      </c>
      <c r="C10" s="45"/>
      <c r="D10" s="45"/>
    </row>
    <row r="11" spans="2:4" x14ac:dyDescent="0.3">
      <c r="B11" s="46" t="s">
        <v>12</v>
      </c>
      <c r="C11" s="46"/>
      <c r="D11" s="46"/>
    </row>
    <row r="12" spans="2:4" x14ac:dyDescent="0.3">
      <c r="B12" s="47" t="s">
        <v>53</v>
      </c>
      <c r="C12" s="47"/>
      <c r="D12" s="47"/>
    </row>
    <row r="13" spans="2:4" x14ac:dyDescent="0.3">
      <c r="B13" s="34" t="s">
        <v>36</v>
      </c>
      <c r="C13" s="35"/>
      <c r="D13" s="36"/>
    </row>
    <row r="14" spans="2:4" x14ac:dyDescent="0.3">
      <c r="B14" s="37" t="s">
        <v>54</v>
      </c>
      <c r="C14" s="38"/>
      <c r="D14" s="39"/>
    </row>
    <row r="15" spans="2:4" x14ac:dyDescent="0.3">
      <c r="B15" s="19" t="s">
        <v>13</v>
      </c>
      <c r="C15" s="19"/>
      <c r="D15" s="19"/>
    </row>
    <row r="16" spans="2:4" x14ac:dyDescent="0.3">
      <c r="B16" s="47" t="s">
        <v>55</v>
      </c>
      <c r="C16" s="47"/>
      <c r="D16" s="47"/>
    </row>
    <row r="17" spans="2:4" x14ac:dyDescent="0.3">
      <c r="B17" s="34" t="s">
        <v>35</v>
      </c>
      <c r="C17" s="35"/>
      <c r="D17" s="36"/>
    </row>
    <row r="18" spans="2:4" x14ac:dyDescent="0.3">
      <c r="B18" s="31" t="s">
        <v>56</v>
      </c>
      <c r="C18" s="32"/>
      <c r="D18" s="33"/>
    </row>
    <row r="19" spans="2:4" x14ac:dyDescent="0.3">
      <c r="B19" s="34" t="s">
        <v>14</v>
      </c>
      <c r="C19" s="35"/>
      <c r="D19" s="36"/>
    </row>
    <row r="20" spans="2:4" x14ac:dyDescent="0.3">
      <c r="B20" s="31" t="s">
        <v>38</v>
      </c>
      <c r="C20" s="32"/>
      <c r="D20" s="33"/>
    </row>
    <row r="21" spans="2:4" x14ac:dyDescent="0.3">
      <c r="B21" s="48" t="s">
        <v>15</v>
      </c>
      <c r="C21" s="49"/>
      <c r="D21" s="50"/>
    </row>
    <row r="22" spans="2:4" x14ac:dyDescent="0.3">
      <c r="B22" s="28" t="s">
        <v>16</v>
      </c>
      <c r="C22" s="29"/>
      <c r="D22" s="30"/>
    </row>
    <row r="23" spans="2:4" x14ac:dyDescent="0.3">
      <c r="B23" s="31" t="s">
        <v>29</v>
      </c>
      <c r="C23" s="32"/>
      <c r="D23" s="33"/>
    </row>
    <row r="24" spans="2:4" x14ac:dyDescent="0.3">
      <c r="B24" s="1" t="s">
        <v>39</v>
      </c>
      <c r="C24" s="1" t="s">
        <v>18</v>
      </c>
      <c r="D24" s="1" t="s">
        <v>19</v>
      </c>
    </row>
    <row r="25" spans="2:4" x14ac:dyDescent="0.3">
      <c r="B25" s="7">
        <v>2500</v>
      </c>
      <c r="C25" s="3">
        <v>8</v>
      </c>
      <c r="D25" s="3">
        <v>300</v>
      </c>
    </row>
    <row r="26" spans="2:4" x14ac:dyDescent="0.3">
      <c r="B26" s="1" t="s">
        <v>20</v>
      </c>
      <c r="C26" s="1" t="s">
        <v>21</v>
      </c>
      <c r="D26" s="1" t="s">
        <v>22</v>
      </c>
    </row>
    <row r="27" spans="2:4" x14ac:dyDescent="0.3">
      <c r="B27" s="8">
        <f>VLOOKUP(B23,Tabel1[#All],2,FALSE)</f>
        <v>1</v>
      </c>
      <c r="C27" s="8" t="str">
        <f>VLOOKUP(B23,Tabel1[#All],3,FALSE)</f>
        <v>Short circuit detection</v>
      </c>
      <c r="D27" s="8" t="str">
        <f>VLOOKUP(B23,Tabel1[#All],4,FALSE)</f>
        <v>None</v>
      </c>
    </row>
  </sheetData>
  <sheetProtection sheet="1" objects="1" scenarios="1" selectLockedCells="1"/>
  <mergeCells count="22">
    <mergeCell ref="B13:D13"/>
    <mergeCell ref="B2:D2"/>
    <mergeCell ref="C3:D3"/>
    <mergeCell ref="C4:D4"/>
    <mergeCell ref="C5:D5"/>
    <mergeCell ref="C6:D6"/>
    <mergeCell ref="C7:D7"/>
    <mergeCell ref="C8:D8"/>
    <mergeCell ref="B9:D9"/>
    <mergeCell ref="B10:D10"/>
    <mergeCell ref="B11:D11"/>
    <mergeCell ref="B12:D12"/>
    <mergeCell ref="B20:D20"/>
    <mergeCell ref="B21:D21"/>
    <mergeCell ref="B22:D22"/>
    <mergeCell ref="B23:D23"/>
    <mergeCell ref="B14:D14"/>
    <mergeCell ref="B15:D15"/>
    <mergeCell ref="B16:D16"/>
    <mergeCell ref="B17:D17"/>
    <mergeCell ref="B18:D18"/>
    <mergeCell ref="B19:D19"/>
  </mergeCells>
  <dataValidations count="3">
    <dataValidation type="list" allowBlank="1" showInputMessage="1" showErrorMessage="1" sqref="B16:D16" xr:uid="{A3CD88BC-CA5E-45CA-8620-1441C0D14D2E}">
      <formula1>"Resetknop op kast,Resetknop op HMI,Resetknop op kast &amp; HMI,Automatisch reset bij deactiveren veiligheidsfunctie,"</formula1>
    </dataValidation>
    <dataValidation type="list" allowBlank="1" showInputMessage="1" showErrorMessage="1" sqref="B20" xr:uid="{313599F4-2532-4466-A9C8-534608DD07EC}">
      <formula1>"Veiligheidsrelais,PLC"</formula1>
    </dataValidation>
    <dataValidation type="list" allowBlank="1" showInputMessage="1" showErrorMessage="1" sqref="B23" xr:uid="{7FF85473-8B4D-49CC-BE48-F0D81278EE7E}">
      <formula1>"A,B,C,D,E"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E39AC-B862-4C6C-84E1-87EBE4E42E59}">
  <sheetPr codeName="Blad3"/>
  <dimension ref="A1:D6"/>
  <sheetViews>
    <sheetView workbookViewId="0">
      <selection sqref="A1:D6"/>
    </sheetView>
  </sheetViews>
  <sheetFormatPr defaultRowHeight="14.4" x14ac:dyDescent="0.3"/>
  <cols>
    <col min="1" max="1" width="18.5546875" bestFit="1" customWidth="1"/>
    <col min="2" max="2" width="11.21875" bestFit="1" customWidth="1"/>
    <col min="3" max="3" width="19.21875" bestFit="1" customWidth="1"/>
    <col min="4" max="4" width="5.5546875" bestFit="1" customWidth="1"/>
  </cols>
  <sheetData>
    <row r="1" spans="1:4" x14ac:dyDescent="0.3">
      <c r="A1" t="s">
        <v>23</v>
      </c>
      <c r="B1" t="s">
        <v>24</v>
      </c>
      <c r="C1" t="s">
        <v>25</v>
      </c>
      <c r="D1" t="s">
        <v>26</v>
      </c>
    </row>
    <row r="2" spans="1:4" x14ac:dyDescent="0.3">
      <c r="A2" t="s">
        <v>27</v>
      </c>
      <c r="B2" t="s">
        <v>17</v>
      </c>
      <c r="C2" t="s">
        <v>28</v>
      </c>
      <c r="D2" t="s">
        <v>28</v>
      </c>
    </row>
    <row r="3" spans="1:4" x14ac:dyDescent="0.3">
      <c r="A3" t="s">
        <v>17</v>
      </c>
      <c r="B3" t="s">
        <v>17</v>
      </c>
      <c r="C3" t="s">
        <v>28</v>
      </c>
      <c r="D3" t="s">
        <v>28</v>
      </c>
    </row>
    <row r="4" spans="1:4" x14ac:dyDescent="0.3">
      <c r="A4" t="s">
        <v>29</v>
      </c>
      <c r="B4">
        <v>1</v>
      </c>
      <c r="C4" t="s">
        <v>30</v>
      </c>
      <c r="D4" t="s">
        <v>28</v>
      </c>
    </row>
    <row r="5" spans="1:4" x14ac:dyDescent="0.3">
      <c r="A5" t="s">
        <v>31</v>
      </c>
      <c r="B5">
        <v>3</v>
      </c>
      <c r="C5" t="s">
        <v>30</v>
      </c>
      <c r="D5" t="s">
        <v>32</v>
      </c>
    </row>
    <row r="6" spans="1:4" x14ac:dyDescent="0.3">
      <c r="A6" t="s">
        <v>33</v>
      </c>
      <c r="B6">
        <v>4</v>
      </c>
      <c r="C6" t="s">
        <v>30</v>
      </c>
      <c r="D6" t="s">
        <v>34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11</vt:i4>
      </vt:variant>
    </vt:vector>
  </HeadingPairs>
  <TitlesOfParts>
    <vt:vector size="11" baseType="lpstr">
      <vt:lpstr>Klant informatie</vt:lpstr>
      <vt:lpstr>Veiligheidsfunctie</vt:lpstr>
      <vt:lpstr>Veiligheidsfunctie (2)</vt:lpstr>
      <vt:lpstr>Veiligheidsfunctie (9)</vt:lpstr>
      <vt:lpstr>Veiligheidsfunctie (8)</vt:lpstr>
      <vt:lpstr>Veiligheidsfunctie (7)</vt:lpstr>
      <vt:lpstr>Veiligheidsfunctie (6)</vt:lpstr>
      <vt:lpstr>Veiligheidsfunctie (5)</vt:lpstr>
      <vt:lpstr>Veiligheidsfunctie (3)</vt:lpstr>
      <vt:lpstr>Veiligheidsfunctie (4)</vt:lpstr>
      <vt:lpstr>vlookup</vt:lpstr>
    </vt:vector>
  </TitlesOfParts>
  <Company>Van den Pol Elektrotechniek B.V.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Joost Rietdijk</dc:creator>
  <cp:lastModifiedBy>Joost Rietdijk</cp:lastModifiedBy>
  <dcterms:created xsi:type="dcterms:W3CDTF">2023-04-12T07:49:45Z</dcterms:created>
  <dcterms:modified xsi:type="dcterms:W3CDTF">2023-05-03T11:37:14Z</dcterms:modified>
</cp:coreProperties>
</file>