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rietdijk\Documents\safetytoolWeb\"/>
    </mc:Choice>
  </mc:AlternateContent>
  <xr:revisionPtr revIDLastSave="0" documentId="13_ncr:1_{FEC38BF9-B46D-46E5-8CB2-BA503D97C66A}" xr6:coauthVersionLast="47" xr6:coauthVersionMax="47" xr10:uidLastSave="{00000000-0000-0000-0000-000000000000}"/>
  <bookViews>
    <workbookView xWindow="-108" yWindow="-108" windowWidth="23256" windowHeight="12456" xr2:uid="{689C6B4D-1FE7-4500-B79F-668241EC9963}"/>
  </bookViews>
  <sheets>
    <sheet name="Klant informatie" sheetId="1" r:id="rId1"/>
    <sheet name="Veiligheidsfunctie" sheetId="32" r:id="rId2"/>
    <sheet name="Versiebeheer" sheetId="38" r:id="rId3"/>
    <sheet name="vlookup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32" l="1"/>
  <c r="D27" i="32"/>
  <c r="C27" i="32"/>
  <c r="C8" i="32"/>
  <c r="C7" i="32"/>
  <c r="C6" i="32"/>
  <c r="C5" i="32"/>
  <c r="C4" i="32"/>
  <c r="C3" i="32"/>
</calcChain>
</file>

<file path=xl/sharedStrings.xml><?xml version="1.0" encoding="utf-8"?>
<sst xmlns="http://schemas.openxmlformats.org/spreadsheetml/2006/main" count="72" uniqueCount="51">
  <si>
    <t>Klant informatie</t>
  </si>
  <si>
    <t>Klant:</t>
  </si>
  <si>
    <t>Projectnaam:</t>
  </si>
  <si>
    <t>Projectnummer:</t>
  </si>
  <si>
    <t>Klantcode:</t>
  </si>
  <si>
    <t>Versie:</t>
  </si>
  <si>
    <t>Datum:</t>
  </si>
  <si>
    <t>Handtekening klant:</t>
  </si>
  <si>
    <t>Naam:</t>
  </si>
  <si>
    <t>Handtekening Van den Pol:</t>
  </si>
  <si>
    <t>Safety Requirement Specification</t>
  </si>
  <si>
    <t>Documentatie veiligheidsfunctie</t>
  </si>
  <si>
    <t>Naam veiligheidsfunctie:</t>
  </si>
  <si>
    <t>Manier van resetten:</t>
  </si>
  <si>
    <t>Logic type (in te vullen door Van den Pol):</t>
  </si>
  <si>
    <t>Resultaat veiligheidsanalyse</t>
  </si>
  <si>
    <t>Gewenst Performance Level:</t>
  </si>
  <si>
    <t>B</t>
  </si>
  <si>
    <t>Actieve uren per dag:</t>
  </si>
  <si>
    <t>Actieve dagen per jaar:</t>
  </si>
  <si>
    <t>Categorie:</t>
  </si>
  <si>
    <t>Fault detection:</t>
  </si>
  <si>
    <t>Diagnostic Coverage:</t>
  </si>
  <si>
    <t>Performance level</t>
  </si>
  <si>
    <t>Categorie</t>
  </si>
  <si>
    <t>Fault detection</t>
  </si>
  <si>
    <t>DC</t>
  </si>
  <si>
    <t>A</t>
  </si>
  <si>
    <t>None</t>
  </si>
  <si>
    <t>C</t>
  </si>
  <si>
    <t>Short circuit detection</t>
  </si>
  <si>
    <t>D</t>
  </si>
  <si>
    <t>Low</t>
  </si>
  <si>
    <t>E</t>
  </si>
  <si>
    <t>High</t>
  </si>
  <si>
    <t>Sensor typenummer (indien bekend):</t>
  </si>
  <si>
    <t>Gevolg van activeren veiligheidsfunctie:</t>
  </si>
  <si>
    <t>1.0</t>
  </si>
  <si>
    <t>Versiebeheer</t>
  </si>
  <si>
    <t>Versie</t>
  </si>
  <si>
    <t>Aangepast door</t>
  </si>
  <si>
    <t>Aanpassingen</t>
  </si>
  <si>
    <t>Datum</t>
  </si>
  <si>
    <t>Eerste versie</t>
  </si>
  <si>
    <t>Joost Rietdijk</t>
  </si>
  <si>
    <t>1.1</t>
  </si>
  <si>
    <t>Titel van blad automatisch aanpassen naar naam veiligheidsfunctie</t>
  </si>
  <si>
    <t>1.2</t>
  </si>
  <si>
    <t>1.3</t>
  </si>
  <si>
    <t>Aantal activaties van per uur naar per dag</t>
  </si>
  <si>
    <t>Aantal activaties per dag: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</si>
</sst>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85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2">
    <xf numFmtId="0" fontId="0" fillId="0" borderId="0" xfId="0"/>
    <xf numFmtId="0" fontId="2" fillId="0" borderId="1" xfId="0" applyFont="1" applyBorder="1"/>
    <xf numFmtId="0" fontId="2" fillId="4" borderId="1" xfId="0" applyFont="1" applyFill="1" applyBorder="1"/>
    <xf numFmtId="0" fontId="0" fillId="4" borderId="1" xfId="0" applyFill="1" applyBorder="1" applyProtection="1">
      <protection locked="0"/>
    </xf>
    <xf numFmtId="0" fontId="2" fillId="5" borderId="1" xfId="0" applyFont="1" applyFill="1" applyBorder="1"/>
    <xf numFmtId="14" fontId="2" fillId="4" borderId="1" xfId="0" applyNumberFormat="1" applyFont="1" applyFill="1" applyBorder="1" applyAlignment="1" applyProtection="1">
      <alignment horizontal="left"/>
      <protection locked="0"/>
    </xf>
    <xf numFmtId="14" fontId="0" fillId="4" borderId="1" xfId="0" applyNumberFormat="1" applyFill="1" applyBorder="1" applyAlignment="1" applyProtection="1">
      <alignment horizontal="left"/>
      <protection locked="0"/>
    </xf>
    <xf numFmtId="0" fontId="1" fillId="2" borderId="1" xfId="1" applyBorder="1" applyAlignment="1">
      <alignment horizontal="left"/>
    </xf>
    <xf numFmtId="0" fontId="0" fillId="0" borderId="7" xfId="0" applyBorder="1"/>
    <xf numFmtId="0" fontId="0" fillId="0" borderId="11" xfId="0" applyBorder="1"/>
    <xf numFmtId="0" fontId="0" fillId="0" borderId="6" xfId="0" applyBorder="1"/>
    <xf numFmtId="0" fontId="0" fillId="0" borderId="10" xfId="0" applyBorder="1" applyAlignment="1">
      <alignment vertical="top"/>
    </xf>
    <xf numFmtId="49" fontId="0" fillId="0" borderId="1" xfId="0" applyNumberFormat="1" applyBorder="1" applyAlignment="1">
      <alignment vertical="top" wrapText="1"/>
    </xf>
    <xf numFmtId="0" fontId="0" fillId="0" borderId="1" xfId="0" applyBorder="1" applyAlignment="1">
      <alignment vertical="top"/>
    </xf>
    <xf numFmtId="14" fontId="0" fillId="0" borderId="8" xfId="0" applyNumberFormat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12" xfId="0" applyBorder="1" applyAlignment="1">
      <alignment vertical="top"/>
    </xf>
    <xf numFmtId="14" fontId="0" fillId="0" borderId="2" xfId="0" applyNumberFormat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2" fillId="5" borderId="8" xfId="0" applyFont="1" applyFill="1" applyBorder="1"/>
    <xf numFmtId="0" fontId="2" fillId="5" borderId="10" xfId="0" applyFont="1" applyFill="1" applyBorder="1"/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3" borderId="1" xfId="0" applyFill="1" applyBorder="1" applyAlignment="1">
      <alignment horizontal="center"/>
    </xf>
    <xf numFmtId="0" fontId="1" fillId="2" borderId="1" xfId="1" applyBorder="1" applyAlignment="1">
      <alignment horizontal="left"/>
    </xf>
    <xf numFmtId="49" fontId="1" fillId="2" borderId="1" xfId="1" applyNumberFormat="1" applyBorder="1" applyAlignment="1">
      <alignment horizontal="left"/>
    </xf>
    <xf numFmtId="14" fontId="1" fillId="2" borderId="1" xfId="1" applyNumberFormat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2" fontId="0" fillId="4" borderId="1" xfId="0" applyNumberFormat="1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0" xfId="0" applyBorder="1" applyProtection="1">
      <protection locked="0"/>
    </xf>
    <xf numFmtId="49" fontId="0" fillId="4" borderId="8" xfId="0" applyNumberFormat="1" applyFill="1" applyBorder="1" applyProtection="1">
      <protection locked="0"/>
    </xf>
    <xf numFmtId="49" fontId="0" fillId="4" borderId="10" xfId="0" applyNumberFormat="1" applyFill="1" applyBorder="1" applyProtection="1">
      <protection locked="0"/>
    </xf>
    <xf numFmtId="49" fontId="0" fillId="0" borderId="8" xfId="0" applyNumberFormat="1" applyBorder="1" applyProtection="1">
      <protection locked="0"/>
    </xf>
    <xf numFmtId="49" fontId="0" fillId="0" borderId="10" xfId="0" applyNumberFormat="1" applyBorder="1" applyProtection="1">
      <protection locked="0"/>
    </xf>
    <xf numFmtId="14" fontId="0" fillId="4" borderId="8" xfId="0" applyNumberFormat="1" applyFill="1" applyBorder="1" applyAlignment="1" applyProtection="1">
      <alignment horizontal="left"/>
      <protection locked="0"/>
    </xf>
    <xf numFmtId="14" fontId="0" fillId="4" borderId="10" xfId="0" applyNumberFormat="1" applyFill="1" applyBorder="1" applyAlignment="1" applyProtection="1">
      <alignment horizontal="left"/>
      <protection locked="0"/>
    </xf>
  </cellXfs>
  <cellStyles count="2">
    <cellStyle name="60% - Accent3" xfId="1" builtinId="40"/>
    <cellStyle name="Standaard" xfId="0" builtinId="0"/>
  </cellStyles>
  <dxfs count="9"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6B068-AF84-402C-B8AA-DF376994EE7D}" name="Tabel2" displayName="Tabel2" ref="B3:E7" totalsRowShown="0" headerRowDxfId="8" dataDxfId="6" headerRowBorderDxfId="7" tableBorderDxfId="5" totalsRowBorderDxfId="4">
  <autoFilter ref="B3:E7" xr:uid="{0C56B068-AF84-402C-B8AA-DF376994EE7D}">
    <filterColumn colId="0" hiddenButton="1"/>
    <filterColumn colId="1" hiddenButton="1"/>
    <filterColumn colId="2" hiddenButton="1"/>
    <filterColumn colId="3" hiddenButton="1"/>
  </autoFilter>
  <tableColumns count="4">
    <tableColumn id="1" xr3:uid="{C3BF32D5-807A-4FDD-A809-F107B15B4D7C}" name="Versie" dataDxfId="3"/>
    <tableColumn id="2" xr3:uid="{2D8EBAD5-2264-4CB8-A5B5-BC781C3A554C}" name="Aanpassingen" dataDxfId="2"/>
    <tableColumn id="3" xr3:uid="{9AD6A7AE-C5E4-45E8-9893-5BEB9C216C62}" name="Aangepast door" dataDxfId="1"/>
    <tableColumn id="4" xr3:uid="{8F0E7E5A-EF95-4192-862A-146EACCE9A73}" name="Datum" dataDxfId="0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0FAB0-9EEA-48E5-AC23-AB7661694FB5}" name="Tabel1" displayName="Tabel1" ref="A1:D6" totalsRowShown="0">
  <autoFilter ref="A1:D6" xr:uid="{DE90FAB0-9EEA-48E5-AC23-AB7661694FB5}"/>
  <tableColumns count="4">
    <tableColumn id="1" xr3:uid="{EA5F535A-CB9F-4B39-8360-B5F0C42C87D8}" name="Performance level"/>
    <tableColumn id="2" xr3:uid="{10CCAA8C-9CAA-465D-9D1D-0732E5C9D2FC}" name="Categorie"/>
    <tableColumn id="3" xr3:uid="{6BB8AC17-212E-45E5-BE5B-FA9FE56C6B66}" name="Fault detection"/>
    <tableColumn id="4" xr3:uid="{C2E05352-5960-4825-B26A-AE668943254F}" name="DC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2DC7A-A9E3-4088-8315-EFE11872294C}">
  <sheetPr codeName="Blad1"/>
  <dimension ref="B2:D17"/>
  <sheetViews>
    <sheetView tabSelected="1" workbookViewId="0">
      <selection activeCell="C3" sqref="C3:D3"/>
    </sheetView>
  </sheetViews>
  <sheetFormatPr defaultRowHeight="14.4" x14ac:dyDescent="0.3"/>
  <cols>
    <col min="2" max="2" width="24.21875" bestFit="1" customWidth="1"/>
    <col min="3" max="3" width="17.77734375" customWidth="1"/>
    <col min="4" max="4" width="26.5546875" customWidth="1"/>
  </cols>
  <sheetData>
    <row r="2" spans="2:4" x14ac:dyDescent="0.3">
      <c r="B2" s="19" t="s">
        <v>0</v>
      </c>
      <c r="C2" s="19"/>
      <c r="D2" s="19"/>
    </row>
    <row r="3" spans="2:4" x14ac:dyDescent="0.3">
      <c r="B3" s="1" t="s">
        <v>1</v>
      </c>
      <c r="C3" s="54"/>
      <c r="D3" s="55"/>
    </row>
    <row r="4" spans="2:4" x14ac:dyDescent="0.3">
      <c r="B4" s="2" t="s">
        <v>2</v>
      </c>
      <c r="C4" s="56"/>
      <c r="D4" s="57"/>
    </row>
    <row r="5" spans="2:4" x14ac:dyDescent="0.3">
      <c r="B5" s="1" t="s">
        <v>3</v>
      </c>
      <c r="C5" s="54"/>
      <c r="D5" s="55"/>
    </row>
    <row r="6" spans="2:4" x14ac:dyDescent="0.3">
      <c r="B6" s="2" t="s">
        <v>4</v>
      </c>
      <c r="C6" s="56"/>
      <c r="D6" s="57"/>
    </row>
    <row r="7" spans="2:4" x14ac:dyDescent="0.3">
      <c r="B7" s="1" t="s">
        <v>5</v>
      </c>
      <c r="C7" s="58"/>
      <c r="D7" s="59"/>
    </row>
    <row r="8" spans="2:4" x14ac:dyDescent="0.3">
      <c r="B8" s="2" t="s">
        <v>6</v>
      </c>
      <c r="C8" s="60"/>
      <c r="D8" s="61"/>
    </row>
    <row r="9" spans="2:4" x14ac:dyDescent="0.3">
      <c r="B9" s="20"/>
      <c r="C9" s="20"/>
      <c r="D9" s="20"/>
    </row>
    <row r="10" spans="2:4" x14ac:dyDescent="0.3">
      <c r="B10" s="21" t="s">
        <v>7</v>
      </c>
      <c r="C10" s="21"/>
      <c r="D10" s="1" t="s">
        <v>8</v>
      </c>
    </row>
    <row r="11" spans="2:4" x14ac:dyDescent="0.3">
      <c r="B11" s="22"/>
      <c r="C11" s="23"/>
      <c r="D11" s="3"/>
    </row>
    <row r="12" spans="2:4" x14ac:dyDescent="0.3">
      <c r="B12" s="24"/>
      <c r="C12" s="25"/>
      <c r="D12" s="4" t="s">
        <v>6</v>
      </c>
    </row>
    <row r="13" spans="2:4" x14ac:dyDescent="0.3">
      <c r="B13" s="26"/>
      <c r="C13" s="27"/>
      <c r="D13" s="5"/>
    </row>
    <row r="14" spans="2:4" x14ac:dyDescent="0.3">
      <c r="B14" s="28" t="s">
        <v>9</v>
      </c>
      <c r="C14" s="29"/>
      <c r="D14" s="4" t="s">
        <v>8</v>
      </c>
    </row>
    <row r="15" spans="2:4" x14ac:dyDescent="0.3">
      <c r="B15" s="22"/>
      <c r="C15" s="23"/>
      <c r="D15" s="3"/>
    </row>
    <row r="16" spans="2:4" x14ac:dyDescent="0.3">
      <c r="B16" s="24"/>
      <c r="C16" s="25"/>
      <c r="D16" s="1" t="s">
        <v>6</v>
      </c>
    </row>
    <row r="17" spans="2:4" x14ac:dyDescent="0.3">
      <c r="B17" s="26"/>
      <c r="C17" s="27"/>
      <c r="D17" s="6"/>
    </row>
  </sheetData>
  <sheetProtection sheet="1" objects="1" scenarios="1" selectLockedCells="1"/>
  <mergeCells count="12">
    <mergeCell ref="C8:D8"/>
    <mergeCell ref="B9:D9"/>
    <mergeCell ref="B10:C10"/>
    <mergeCell ref="B11:C13"/>
    <mergeCell ref="B15:C17"/>
    <mergeCell ref="B14:C14"/>
    <mergeCell ref="C7:D7"/>
    <mergeCell ref="B2:D2"/>
    <mergeCell ref="C3:D3"/>
    <mergeCell ref="C4:D4"/>
    <mergeCell ref="C5:D5"/>
    <mergeCell ref="C6:D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BDC9-7E20-4089-BD40-DDC88A8CA4A7}">
  <sheetPr codeName="Blad12"/>
  <dimension ref="B2:D27"/>
  <sheetViews>
    <sheetView topLeftCell="A4" workbookViewId="0">
      <selection activeCell="B23" sqref="B23:D23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9" t="s">
        <v>10</v>
      </c>
      <c r="C2" s="42"/>
      <c r="D2" s="42"/>
    </row>
    <row r="3" spans="2:4" x14ac:dyDescent="0.3">
      <c r="B3" s="1" t="s">
        <v>1</v>
      </c>
      <c r="C3" s="43">
        <f>'Klant informatie'!C3</f>
        <v>0</v>
      </c>
      <c r="D3" s="43"/>
    </row>
    <row r="4" spans="2:4" x14ac:dyDescent="0.3">
      <c r="B4" s="1" t="s">
        <v>2</v>
      </c>
      <c r="C4" s="44">
        <f>'Klant informatie'!C4</f>
        <v>0</v>
      </c>
      <c r="D4" s="43"/>
    </row>
    <row r="5" spans="2:4" x14ac:dyDescent="0.3">
      <c r="B5" s="1" t="s">
        <v>3</v>
      </c>
      <c r="C5" s="43">
        <f>'Klant informatie'!C5</f>
        <v>0</v>
      </c>
      <c r="D5" s="43"/>
    </row>
    <row r="6" spans="2:4" x14ac:dyDescent="0.3">
      <c r="B6" s="1" t="s">
        <v>4</v>
      </c>
      <c r="C6" s="44">
        <f>'Klant informatie'!C6</f>
        <v>0</v>
      </c>
      <c r="D6" s="43"/>
    </row>
    <row r="7" spans="2:4" x14ac:dyDescent="0.3">
      <c r="B7" s="1" t="s">
        <v>5</v>
      </c>
      <c r="C7" s="43">
        <f>'Klant informatie'!C7</f>
        <v>0</v>
      </c>
      <c r="D7" s="43"/>
    </row>
    <row r="8" spans="2:4" x14ac:dyDescent="0.3">
      <c r="B8" s="1" t="s">
        <v>6</v>
      </c>
      <c r="C8" s="45">
        <f>'Klant informatie'!C8</f>
        <v>0</v>
      </c>
      <c r="D8" s="43"/>
    </row>
    <row r="9" spans="2:4" x14ac:dyDescent="0.3">
      <c r="B9" s="20"/>
      <c r="C9" s="20"/>
      <c r="D9" s="20"/>
    </row>
    <row r="10" spans="2:4" x14ac:dyDescent="0.3">
      <c r="B10" s="46" t="s">
        <v>11</v>
      </c>
      <c r="C10" s="47"/>
      <c r="D10" s="47"/>
    </row>
    <row r="11" spans="2:4" x14ac:dyDescent="0.3">
      <c r="B11" s="48" t="s">
        <v>12</v>
      </c>
      <c r="C11" s="48"/>
      <c r="D11" s="48"/>
    </row>
    <row r="12" spans="2:4" x14ac:dyDescent="0.3">
      <c r="B12" s="49"/>
      <c r="C12" s="49"/>
      <c r="D12" s="49"/>
    </row>
    <row r="13" spans="2:4" x14ac:dyDescent="0.3">
      <c r="B13" s="36" t="s">
        <v>36</v>
      </c>
      <c r="C13" s="37"/>
      <c r="D13" s="38"/>
    </row>
    <row r="14" spans="2:4" x14ac:dyDescent="0.3">
      <c r="B14" s="39"/>
      <c r="C14" s="40"/>
      <c r="D14" s="41"/>
    </row>
    <row r="15" spans="2:4" x14ac:dyDescent="0.3">
      <c r="B15" s="21" t="s">
        <v>13</v>
      </c>
      <c r="C15" s="21"/>
      <c r="D15" s="21"/>
    </row>
    <row r="16" spans="2:4" x14ac:dyDescent="0.3">
      <c r="B16" s="49"/>
      <c r="C16" s="49"/>
      <c r="D16" s="49"/>
    </row>
    <row r="17" spans="2:4" x14ac:dyDescent="0.3">
      <c r="B17" s="36" t="s">
        <v>35</v>
      </c>
      <c r="C17" s="37"/>
      <c r="D17" s="38"/>
    </row>
    <row r="18" spans="2:4" x14ac:dyDescent="0.3">
      <c r="B18" s="33"/>
      <c r="C18" s="34"/>
      <c r="D18" s="35"/>
    </row>
    <row r="19" spans="2:4" x14ac:dyDescent="0.3">
      <c r="B19" s="36" t="s">
        <v>14</v>
      </c>
      <c r="C19" s="37"/>
      <c r="D19" s="38"/>
    </row>
    <row r="20" spans="2:4" x14ac:dyDescent="0.3">
      <c r="B20" s="33"/>
      <c r="C20" s="34"/>
      <c r="D20" s="35"/>
    </row>
    <row r="21" spans="2:4" x14ac:dyDescent="0.3">
      <c r="B21" s="50" t="s">
        <v>15</v>
      </c>
      <c r="C21" s="51"/>
      <c r="D21" s="52"/>
    </row>
    <row r="22" spans="2:4" x14ac:dyDescent="0.3">
      <c r="B22" s="30" t="s">
        <v>16</v>
      </c>
      <c r="C22" s="31"/>
      <c r="D22" s="32"/>
    </row>
    <row r="23" spans="2:4" x14ac:dyDescent="0.3">
      <c r="B23" s="33"/>
      <c r="C23" s="34"/>
      <c r="D23" s="35"/>
    </row>
    <row r="24" spans="2:4" x14ac:dyDescent="0.3">
      <c r="B24" s="1" t="s">
        <v>50</v>
      </c>
      <c r="C24" s="1" t="s">
        <v>18</v>
      </c>
      <c r="D24" s="1" t="s">
        <v>19</v>
      </c>
    </row>
    <row r="25" spans="2:4" x14ac:dyDescent="0.3">
      <c r="B25" s="53"/>
      <c r="C25" s="3"/>
      <c r="D25" s="3"/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7" t="e">
        <f>VLOOKUP(B23,Tabel1[#All],2,FALSE)</f>
        <v>#N/A</v>
      </c>
      <c r="C27" s="7" t="e">
        <f>VLOOKUP(B23,Tabel1[#All],3,FALSE)</f>
        <v>#N/A</v>
      </c>
      <c r="D27" s="7" t="e">
        <f>VLOOKUP(B23,Tabel1[#All],4,FALSE)</f>
        <v>#N/A</v>
      </c>
    </row>
  </sheetData>
  <sheetProtection sheet="1" selectLockedCells="1"/>
  <mergeCells count="22">
    <mergeCell ref="B12:D12"/>
    <mergeCell ref="B20:D20"/>
    <mergeCell ref="B21:D21"/>
    <mergeCell ref="B16:D16"/>
    <mergeCell ref="B17:D17"/>
    <mergeCell ref="B18:D18"/>
    <mergeCell ref="B19:D19"/>
    <mergeCell ref="C7:D7"/>
    <mergeCell ref="C8:D8"/>
    <mergeCell ref="B9:D9"/>
    <mergeCell ref="B10:D10"/>
    <mergeCell ref="B11:D11"/>
    <mergeCell ref="B2:D2"/>
    <mergeCell ref="C3:D3"/>
    <mergeCell ref="C4:D4"/>
    <mergeCell ref="C5:D5"/>
    <mergeCell ref="C6:D6"/>
    <mergeCell ref="B22:D22"/>
    <mergeCell ref="B23:D23"/>
    <mergeCell ref="B13:D13"/>
    <mergeCell ref="B14:D14"/>
    <mergeCell ref="B15:D15"/>
  </mergeCells>
  <dataValidations count="3">
    <dataValidation type="list" allowBlank="1" showInputMessage="1" showErrorMessage="1" sqref="B23" xr:uid="{43EE7728-932F-422A-9AAA-DBEEB3E2FE94}">
      <formula1>"A,B,C,D,E"</formula1>
    </dataValidation>
    <dataValidation type="list" allowBlank="1" showInputMessage="1" showErrorMessage="1" sqref="B20" xr:uid="{0179B7A8-E37D-484E-BA99-A67EAA3EA255}">
      <formula1>"Veiligheidsrelais,PLC"</formula1>
    </dataValidation>
    <dataValidation type="list" allowBlank="1" showInputMessage="1" showErrorMessage="1" sqref="B16:D16" xr:uid="{2612D79E-F95B-40BF-9186-8B90BD0B57A6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EC9A1-E59D-4941-8A90-262FF7FAB4D7}">
  <dimension ref="B2:E7"/>
  <sheetViews>
    <sheetView workbookViewId="0">
      <selection activeCell="E11" sqref="E11"/>
    </sheetView>
  </sheetViews>
  <sheetFormatPr defaultRowHeight="14.4" x14ac:dyDescent="0.3"/>
  <cols>
    <col min="3" max="3" width="28.44140625" customWidth="1"/>
    <col min="4" max="4" width="15.6640625" customWidth="1"/>
    <col min="5" max="5" width="9.33203125" bestFit="1" customWidth="1"/>
  </cols>
  <sheetData>
    <row r="2" spans="2:5" x14ac:dyDescent="0.3">
      <c r="B2" s="19" t="s">
        <v>38</v>
      </c>
      <c r="C2" s="19"/>
      <c r="D2" s="19"/>
      <c r="E2" s="19"/>
    </row>
    <row r="3" spans="2:5" x14ac:dyDescent="0.3">
      <c r="B3" s="8" t="s">
        <v>39</v>
      </c>
      <c r="C3" s="9" t="s">
        <v>41</v>
      </c>
      <c r="D3" s="9" t="s">
        <v>40</v>
      </c>
      <c r="E3" s="10" t="s">
        <v>42</v>
      </c>
    </row>
    <row r="4" spans="2:5" ht="28.8" x14ac:dyDescent="0.3">
      <c r="B4" s="11" t="s">
        <v>48</v>
      </c>
      <c r="C4" s="18" t="s">
        <v>49</v>
      </c>
      <c r="D4" s="13" t="s">
        <v>44</v>
      </c>
      <c r="E4" s="14">
        <v>45049</v>
      </c>
    </row>
    <row r="5" spans="2:5" ht="43.2" x14ac:dyDescent="0.3">
      <c r="B5" s="11" t="s">
        <v>47</v>
      </c>
      <c r="C5" s="18" t="s">
        <v>46</v>
      </c>
      <c r="D5" s="13" t="s">
        <v>44</v>
      </c>
      <c r="E5" s="14">
        <v>45049</v>
      </c>
    </row>
    <row r="6" spans="2:5" ht="43.2" x14ac:dyDescent="0.3">
      <c r="B6" s="11" t="s">
        <v>45</v>
      </c>
      <c r="C6" s="12" t="s">
        <v>46</v>
      </c>
      <c r="D6" s="13" t="s">
        <v>44</v>
      </c>
      <c r="E6" s="14">
        <v>45049</v>
      </c>
    </row>
    <row r="7" spans="2:5" x14ac:dyDescent="0.3">
      <c r="B7" s="15" t="s">
        <v>37</v>
      </c>
      <c r="C7" s="16" t="s">
        <v>43</v>
      </c>
      <c r="D7" s="16" t="s">
        <v>44</v>
      </c>
      <c r="E7" s="17">
        <v>45033</v>
      </c>
    </row>
  </sheetData>
  <sheetProtection sheet="1" objects="1" scenarios="1" selectLockedCells="1"/>
  <mergeCells count="1">
    <mergeCell ref="B2:E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E39AC-B862-4C6C-84E1-87EBE4E42E59}">
  <sheetPr codeName="Blad3"/>
  <dimension ref="A1:D6"/>
  <sheetViews>
    <sheetView workbookViewId="0">
      <selection sqref="A1:D6"/>
    </sheetView>
  </sheetViews>
  <sheetFormatPr defaultRowHeight="14.4" x14ac:dyDescent="0.3"/>
  <cols>
    <col min="1" max="1" width="18.5546875" bestFit="1" customWidth="1"/>
    <col min="2" max="2" width="11.21875" bestFit="1" customWidth="1"/>
    <col min="3" max="3" width="19.21875" bestFit="1" customWidth="1"/>
    <col min="4" max="4" width="5.5546875" bestFit="1" customWidth="1"/>
  </cols>
  <sheetData>
    <row r="1" spans="1:4" x14ac:dyDescent="0.3">
      <c r="A1" t="s">
        <v>23</v>
      </c>
      <c r="B1" t="s">
        <v>24</v>
      </c>
      <c r="C1" t="s">
        <v>25</v>
      </c>
      <c r="D1" t="s">
        <v>26</v>
      </c>
    </row>
    <row r="2" spans="1:4" x14ac:dyDescent="0.3">
      <c r="A2" t="s">
        <v>27</v>
      </c>
      <c r="B2" t="s">
        <v>17</v>
      </c>
      <c r="C2" t="s">
        <v>28</v>
      </c>
      <c r="D2" t="s">
        <v>28</v>
      </c>
    </row>
    <row r="3" spans="1:4" x14ac:dyDescent="0.3">
      <c r="A3" t="s">
        <v>17</v>
      </c>
      <c r="B3" t="s">
        <v>17</v>
      </c>
      <c r="C3" t="s">
        <v>28</v>
      </c>
      <c r="D3" t="s">
        <v>28</v>
      </c>
    </row>
    <row r="4" spans="1:4" x14ac:dyDescent="0.3">
      <c r="A4" t="s">
        <v>29</v>
      </c>
      <c r="B4">
        <v>1</v>
      </c>
      <c r="C4" t="s">
        <v>30</v>
      </c>
      <c r="D4" t="s">
        <v>28</v>
      </c>
    </row>
    <row r="5" spans="1:4" x14ac:dyDescent="0.3">
      <c r="A5" t="s">
        <v>31</v>
      </c>
      <c r="B5">
        <v>3</v>
      </c>
      <c r="C5" t="s">
        <v>30</v>
      </c>
      <c r="D5" t="s">
        <v>32</v>
      </c>
    </row>
    <row r="6" spans="1:4" x14ac:dyDescent="0.3">
      <c r="A6" t="s">
        <v>33</v>
      </c>
      <c r="B6">
        <v>4</v>
      </c>
      <c r="C6" t="s">
        <v>30</v>
      </c>
      <c r="D6" t="s">
        <v>34</v>
      </c>
    </row>
  </sheetData>
  <sheetProtection sheet="1" objects="1" scenarios="1"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Klant informatie</vt:lpstr>
      <vt:lpstr>Veiligheidsfunctie</vt:lpstr>
      <vt:lpstr>Versiebeheer</vt:lpstr>
      <vt:lpstr>vlookup</vt:lpstr>
    </vt:vector>
  </TitlesOfParts>
  <Company>Van den Pol Elektrotechniek B.V.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Joost Rietdijk</dc:creator>
  <cp:lastModifiedBy>Joost Rietdijk</cp:lastModifiedBy>
  <dcterms:created xsi:type="dcterms:W3CDTF">2023-04-12T07:49:45Z</dcterms:created>
  <dcterms:modified xsi:type="dcterms:W3CDTF">2023-05-03T12:54:18Z</dcterms:modified>
</cp:coreProperties>
</file>